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inPer\IIMRohtak\SharadaQP\Batch1\MidTerm\"/>
    </mc:Choice>
  </mc:AlternateContent>
  <bookViews>
    <workbookView xWindow="0" yWindow="0" windowWidth="20490" windowHeight="7620" tabRatio="853" firstSheet="2" activeTab="14"/>
  </bookViews>
  <sheets>
    <sheet name="Instructions" sheetId="1" r:id="rId1"/>
    <sheet name="Student Details" sheetId="2" r:id="rId2"/>
    <sheet name="Question Paper" sheetId="15" r:id="rId3"/>
    <sheet name="Q1" sheetId="3" r:id="rId4"/>
    <sheet name="Q1Ans" sheetId="4" r:id="rId5"/>
    <sheet name="Q1Working" sheetId="13" r:id="rId6"/>
    <sheet name="Q2" sheetId="5" r:id="rId7"/>
    <sheet name="Q2Data" sheetId="19" r:id="rId8"/>
    <sheet name="Q2Ans" sheetId="6" r:id="rId9"/>
    <sheet name="Q2Working" sheetId="14" r:id="rId10"/>
    <sheet name="Q3" sheetId="7" r:id="rId11"/>
    <sheet name="Q3Ans" sheetId="8" r:id="rId12"/>
    <sheet name="Q3Working" sheetId="16" r:id="rId13"/>
    <sheet name="Q4" sheetId="9" r:id="rId14"/>
    <sheet name="Q4Ans" sheetId="10" r:id="rId15"/>
    <sheet name="Q4Working" sheetId="17" r:id="rId16"/>
  </sheets>
  <definedNames>
    <definedName name="solver_adj" localSheetId="5" hidden="1">Q1Working!#REF!</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lhs1" localSheetId="5" hidden="1">Q1Working!#REF!</definedName>
    <definedName name="solver_lhs2" localSheetId="5" hidden="1">Q1Working!#REF!</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2</definedName>
    <definedName name="solver_nwt" localSheetId="5" hidden="1">1</definedName>
    <definedName name="solver_opt" localSheetId="5" hidden="1">Q1Working!#REF!</definedName>
    <definedName name="solver_pre" localSheetId="5" hidden="1">0.000001</definedName>
    <definedName name="solver_rbv" localSheetId="5" hidden="1">1</definedName>
    <definedName name="solver_rel1" localSheetId="5" hidden="1">2</definedName>
    <definedName name="solver_rel2" localSheetId="5" hidden="1">1</definedName>
    <definedName name="solver_rhs1" localSheetId="5" hidden="1">1</definedName>
    <definedName name="solver_rhs2" localSheetId="5" hidden="1">Q1Working!#REF!</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4" l="1"/>
  <c r="C1" i="10"/>
  <c r="M6" i="8"/>
  <c r="C9" i="15"/>
  <c r="D28" i="9" l="1"/>
  <c r="D17" i="9"/>
  <c r="E6" i="7"/>
  <c r="G6" i="7" s="1"/>
  <c r="I6" i="7" s="1"/>
  <c r="K6" i="7" s="1"/>
</calcChain>
</file>

<file path=xl/sharedStrings.xml><?xml version="1.0" encoding="utf-8"?>
<sst xmlns="http://schemas.openxmlformats.org/spreadsheetml/2006/main" count="168" uniqueCount="120">
  <si>
    <t>Name</t>
  </si>
  <si>
    <t>Roll Number</t>
  </si>
  <si>
    <t>Section</t>
  </si>
  <si>
    <t>Sl No</t>
  </si>
  <si>
    <t>Question</t>
  </si>
  <si>
    <t>Marks</t>
  </si>
  <si>
    <t>Question No</t>
  </si>
  <si>
    <t>Instructions</t>
  </si>
  <si>
    <t>Use 6 decimals</t>
  </si>
  <si>
    <t>For Solver use Color codes</t>
  </si>
  <si>
    <t>Target Cells</t>
  </si>
  <si>
    <t>Changeable Cells</t>
  </si>
  <si>
    <t>Constraints</t>
  </si>
  <si>
    <t>Sheet Names</t>
  </si>
  <si>
    <t>Qx</t>
  </si>
  <si>
    <t>QxData</t>
  </si>
  <si>
    <t>Data for question x</t>
  </si>
  <si>
    <t>Question x</t>
  </si>
  <si>
    <t>Do not modify</t>
  </si>
  <si>
    <t>QxAns</t>
  </si>
  <si>
    <t>Your Answers for Qx</t>
  </si>
  <si>
    <t>QxWorking</t>
  </si>
  <si>
    <t>Your working sheet to answer Question x</t>
  </si>
  <si>
    <t xml:space="preserve">What is the expected Return and Variance of a Porfolio </t>
  </si>
  <si>
    <t>X</t>
  </si>
  <si>
    <t>Y</t>
  </si>
  <si>
    <t>E( r )</t>
  </si>
  <si>
    <t>Variance - Covariance</t>
  </si>
  <si>
    <t>With Weights X:Y of 0.3: 0.7</t>
  </si>
  <si>
    <t>With Weights X:Y of 0.2: 0.8</t>
  </si>
  <si>
    <t>Q1.A</t>
  </si>
  <si>
    <t>Date</t>
  </si>
  <si>
    <t>HDFC BANK</t>
  </si>
  <si>
    <t>ICICI BANK</t>
  </si>
  <si>
    <t>HOUSING DEVELOPMENT FINANCE CORPORATION</t>
  </si>
  <si>
    <t>BAJAJ FINANCE</t>
  </si>
  <si>
    <t>KOTAK MAHINDRA BANK</t>
  </si>
  <si>
    <t>STATE BANK OF INDIA</t>
  </si>
  <si>
    <t>AXIS BANK</t>
  </si>
  <si>
    <t>INDUSIND BANK</t>
  </si>
  <si>
    <t>SHRIRAM TRANSPORT FINANCE COMPANY</t>
  </si>
  <si>
    <t>BAJAJ HOLDINGS &amp; INVS.</t>
  </si>
  <si>
    <t>Table Q2 - Descriptive Statistics</t>
  </si>
  <si>
    <t xml:space="preserve">Average Returns </t>
  </si>
  <si>
    <t>Standard Deviation</t>
  </si>
  <si>
    <t xml:space="preserve">Max </t>
  </si>
  <si>
    <t xml:space="preserve">Min </t>
  </si>
  <si>
    <t>Fill cells colored</t>
  </si>
  <si>
    <t>Calculate the Expected Return, Variance and Standard Deviation of the following Stocks</t>
  </si>
  <si>
    <t>Plot the Risk Rewards of the stocks</t>
  </si>
  <si>
    <t>Is there any stock you like, and why</t>
  </si>
  <si>
    <t>Is there any stock you dislike and why</t>
  </si>
  <si>
    <t>Prob</t>
  </si>
  <si>
    <t>Return</t>
  </si>
  <si>
    <t>Stock</t>
  </si>
  <si>
    <t>Variance</t>
  </si>
  <si>
    <t>Stock-&gt;</t>
  </si>
  <si>
    <t>Reason</t>
  </si>
  <si>
    <t>Stocks I don't prefer to invest</t>
  </si>
  <si>
    <t>Stocks I prefer to invest</t>
  </si>
  <si>
    <t>You are interested in investing in a new company Rohtak Rockets</t>
  </si>
  <si>
    <t>When asked about the dividends, the CFO Ms Lakshmi was uncomfortable providing a specific number</t>
  </si>
  <si>
    <t>Ms Lakshmi provided the following details</t>
  </si>
  <si>
    <t>Dr Karthik informs you that he hopes Rohtak Rockets will be acquired by Bharat Moonlanders at the end of 5 years</t>
  </si>
  <si>
    <t>Dr Karthik has provided the details of potential acquisition price by Bharat MoonLanders</t>
  </si>
  <si>
    <t>Rohtak Rockets is a Space Startup founded by Dr Karthik which is building reusable rockets modules for human missions to the Moon</t>
  </si>
  <si>
    <t>Assume cost of capital to be 6%</t>
  </si>
  <si>
    <t>Dividend Per share End of Year</t>
  </si>
  <si>
    <t>Probability</t>
  </si>
  <si>
    <t>value per Share</t>
  </si>
  <si>
    <t>Please find the fair price of share now</t>
  </si>
  <si>
    <t>Current Value of Each Share of Rohtak Rockets</t>
  </si>
  <si>
    <t>Portfolio Return and Variance</t>
  </si>
  <si>
    <t>NSE Descriptive Statistics</t>
  </si>
  <si>
    <t>Risk Reward of a Collection of Shares</t>
  </si>
  <si>
    <t xml:space="preserve">&lt;IPM Roll No_FirstName_LastName_Course&gt; </t>
  </si>
  <si>
    <t xml:space="preserve">Save your answer sheet file Excel File as per the example below: </t>
  </si>
  <si>
    <t>IPM02344_Vinaya_Sathyanarayana_CAF.xlsx</t>
  </si>
  <si>
    <t>Follow the instructions in the questions carefully, not following the same may lead to non-awarding of the relevant marks.</t>
  </si>
  <si>
    <t>Answering all the Questions is mandatory.</t>
  </si>
  <si>
    <t>Plagiarism in any form is not acceptable and will lead to ZERO Marks.</t>
  </si>
  <si>
    <t>Delay in submission of answer sheet through email/upload link beyond the scheduled time will be treated as answer sheet not submitted.</t>
  </si>
  <si>
    <t>NO EMAIL SUBMISSIONS WILL BE ENTERTAINED.</t>
  </si>
  <si>
    <t>Only 1 single Excel File per student will be considered as submission.</t>
  </si>
  <si>
    <t>Risk Reward Plot</t>
  </si>
  <si>
    <t xml:space="preserve">Stock </t>
  </si>
  <si>
    <t>Max Marks</t>
  </si>
  <si>
    <t>Marks Awarded</t>
  </si>
  <si>
    <t>Will be filled by Professor</t>
  </si>
  <si>
    <t xml:space="preserve">Value of Shares of Rohtak Rockets </t>
  </si>
  <si>
    <t>Portfolio 1</t>
  </si>
  <si>
    <t>Portfolio 2</t>
  </si>
  <si>
    <t>Weight</t>
  </si>
  <si>
    <t>Total Marks</t>
  </si>
  <si>
    <t>Note: Please show your workings in Q4 Working Sheet</t>
  </si>
  <si>
    <t>Cells to fill your answers are marked</t>
  </si>
  <si>
    <t>This is an open book (not open to Internet) exam. Text Book, Presentation Slides, Reference Book, Scientific Calculators, Excel, R, SAS, Python, Web Resources, etc. are allowed for use. While it is Open Book, Internet access is not allowed</t>
  </si>
  <si>
    <t>consisting of the following two stocks X,Y</t>
  </si>
  <si>
    <t>Portfolio 3</t>
  </si>
  <si>
    <t>Share</t>
  </si>
  <si>
    <t>y</t>
  </si>
  <si>
    <t>Q1.B</t>
  </si>
  <si>
    <t>Q1.A.1</t>
  </si>
  <si>
    <t>Q1.A.2</t>
  </si>
  <si>
    <t>Write your Roll Number and Section in the Student details sheet</t>
  </si>
  <si>
    <t>The answers should be sequential as per the question paper. ; Do not change the sequence of sheets</t>
  </si>
  <si>
    <t>What portfolio mix will you recommend if the maximum Variance is 0.1</t>
  </si>
  <si>
    <t>Max Allowed Variance</t>
  </si>
  <si>
    <t>Please fill weight for your recommended portfolio</t>
  </si>
  <si>
    <t>What is the return on your recommended portfolio</t>
  </si>
  <si>
    <t>Q3.1</t>
  </si>
  <si>
    <t>Q3.2</t>
  </si>
  <si>
    <t>Q3.3</t>
  </si>
  <si>
    <t>Q3.4</t>
  </si>
  <si>
    <t>Worksheet “Q2Data” contains monthly data for prices of 10 Stocks listed in the National Stock Exchange of India. 
Complete Table Q2 (Worksheet “Q2_Answer”) with the descriptive statistics for the returns of all individual stocks</t>
  </si>
  <si>
    <t>Q2</t>
  </si>
  <si>
    <t>IMPORTANT</t>
  </si>
  <si>
    <t xml:space="preserve">Marks for the question are marked as </t>
  </si>
  <si>
    <t>Q4</t>
  </si>
  <si>
    <t>Purchase Price by Bharat Moon Landers at end of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</si>
</sst>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 #,##0.000000_ ;_ * \-#,##0.000000_ ;_ * &quot;-&quot;??_ ;_ @_ "/>
    <numFmt numFmtId="168" formatCode="0.00000"/>
  </numFmts>
  <fonts count="5"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Times New Roman"/>
      <family val="1"/>
    </font>
    <font>
      <b/>
      <sz val="11"/>
      <color theme="1"/>
      <name val="Calibri"/>
      <family val="2"/>
      <charset val="161"/>
      <scheme val="minor"/>
    </font>
  </fonts>
  <fills count="11">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5" tint="-0.249977111117893"/>
        <bgColor indexed="64"/>
      </patternFill>
    </fill>
    <fill>
      <patternFill patternType="solid">
        <fgColor rgb="FF339966"/>
        <bgColor indexed="64"/>
      </patternFill>
    </fill>
    <fill>
      <patternFill patternType="solid">
        <fgColor theme="0" tint="-4.9989318521683403E-2"/>
        <bgColor indexed="64"/>
      </patternFill>
    </fill>
    <fill>
      <patternFill patternType="solid">
        <fgColor theme="0"/>
        <bgColor indexed="64"/>
      </patternFill>
    </fill>
    <fill>
      <patternFill patternType="solid">
        <fgColor rgb="FF7030A0"/>
        <bgColor indexed="64"/>
      </patternFill>
    </fill>
    <fill>
      <patternFill patternType="solid">
        <fgColor rgb="FF00B0F0"/>
        <bgColor indexed="64"/>
      </patternFill>
    </fill>
    <fill>
      <patternFill patternType="solid">
        <fgColor rgb="FFFF0066"/>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diagonal/>
    </border>
    <border>
      <left style="thick">
        <color auto="1"/>
      </left>
      <right/>
      <top/>
      <bottom/>
      <diagonal/>
    </border>
    <border>
      <left/>
      <right style="thick">
        <color auto="1"/>
      </right>
      <top/>
      <bottom/>
      <diagonal/>
    </border>
    <border>
      <left style="thin">
        <color auto="1"/>
      </left>
      <right style="thin">
        <color auto="1"/>
      </right>
      <top style="thin">
        <color auto="1"/>
      </top>
      <bottom style="thin">
        <color auto="1"/>
      </bottom>
      <diagonal/>
    </border>
  </borders>
  <cellStyleXfs count="4">
    <xf numFmtId="0" fontId="0" fillId="0" borderId="0"/>
    <xf numFmtId="43" fontId="1" fillId="0" borderId="0" applyFont="0" applyFill="0" applyBorder="0" applyAlignment="0" applyProtection="0"/>
    <xf numFmtId="0" fontId="2" fillId="5" borderId="0" applyNumberFormat="0" applyBorder="0" applyProtection="0"/>
    <xf numFmtId="0" fontId="1" fillId="6" borderId="0"/>
  </cellStyleXfs>
  <cellXfs count="37">
    <xf numFmtId="0" fontId="0" fillId="0" borderId="0" xfId="0"/>
    <xf numFmtId="0" fontId="0" fillId="2" borderId="0" xfId="0" applyFill="1"/>
    <xf numFmtId="0" fontId="0" fillId="3" borderId="0" xfId="0" applyFill="1"/>
    <xf numFmtId="0" fontId="0" fillId="4" borderId="0" xfId="0" applyFill="1"/>
    <xf numFmtId="9" fontId="0" fillId="0" borderId="0" xfId="0" applyNumberFormat="1"/>
    <xf numFmtId="0" fontId="3" fillId="0" borderId="0" xfId="0" applyFont="1" applyAlignment="1">
      <alignment wrapText="1"/>
    </xf>
    <xf numFmtId="0" fontId="0" fillId="0" borderId="0" xfId="0" applyAlignment="1">
      <alignment wrapText="1"/>
    </xf>
    <xf numFmtId="0" fontId="4" fillId="0" borderId="0" xfId="0" applyFont="1" applyAlignment="1">
      <alignment horizontal="center" vertical="center"/>
    </xf>
    <xf numFmtId="0" fontId="4" fillId="0" borderId="0" xfId="0" applyFont="1" applyAlignment="1">
      <alignment horizontal="center" vertical="center" wrapText="1"/>
    </xf>
    <xf numFmtId="14" fontId="0" fillId="0" borderId="0" xfId="0" applyNumberFormat="1"/>
    <xf numFmtId="0" fontId="2" fillId="5" borderId="1" xfId="2" applyBorder="1" applyAlignment="1"/>
    <xf numFmtId="0" fontId="2" fillId="5" borderId="3" xfId="2" applyBorder="1" applyAlignment="1">
      <alignment horizontal="center" vertical="center" wrapText="1"/>
    </xf>
    <xf numFmtId="0" fontId="2" fillId="5" borderId="4" xfId="2" applyBorder="1" applyAlignment="1"/>
    <xf numFmtId="0" fontId="2" fillId="5" borderId="6" xfId="2" applyBorder="1" applyAlignment="1"/>
    <xf numFmtId="0" fontId="1" fillId="2" borderId="5" xfId="3" applyFont="1" applyFill="1" applyBorder="1"/>
    <xf numFmtId="0" fontId="1" fillId="2" borderId="5" xfId="3" applyFont="1" applyFill="1" applyBorder="1" applyAlignment="1">
      <alignment wrapText="1"/>
    </xf>
    <xf numFmtId="0" fontId="0" fillId="0" borderId="7" xfId="0" applyBorder="1"/>
    <xf numFmtId="0" fontId="0" fillId="0" borderId="8" xfId="0" applyBorder="1"/>
    <xf numFmtId="0" fontId="0" fillId="2" borderId="9" xfId="0" applyFill="1" applyBorder="1"/>
    <xf numFmtId="0" fontId="0" fillId="0" borderId="0" xfId="0" applyAlignment="1">
      <alignment horizontal="center"/>
    </xf>
    <xf numFmtId="0" fontId="0" fillId="2" borderId="0" xfId="0" applyFill="1" applyAlignment="1">
      <alignment wrapText="1"/>
    </xf>
    <xf numFmtId="0" fontId="0" fillId="7" borderId="0" xfId="0" applyFill="1"/>
    <xf numFmtId="43" fontId="0" fillId="0" borderId="0" xfId="1" applyFont="1"/>
    <xf numFmtId="0" fontId="0" fillId="0" borderId="9" xfId="0" applyBorder="1" applyAlignment="1">
      <alignment horizontal="center"/>
    </xf>
    <xf numFmtId="9" fontId="0" fillId="0" borderId="9"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43" fontId="0" fillId="0" borderId="7" xfId="1" applyFont="1" applyBorder="1"/>
    <xf numFmtId="0" fontId="0" fillId="8" borderId="0" xfId="0" applyFill="1" applyAlignment="1">
      <alignment horizontal="center"/>
    </xf>
    <xf numFmtId="0" fontId="0" fillId="9" borderId="0" xfId="0" applyFill="1"/>
    <xf numFmtId="164" fontId="0" fillId="0" borderId="0" xfId="1" applyNumberFormat="1" applyFont="1"/>
    <xf numFmtId="0" fontId="0" fillId="10" borderId="0" xfId="0" applyFill="1"/>
    <xf numFmtId="0" fontId="2" fillId="10" borderId="0" xfId="2" applyFill="1" applyBorder="1" applyAlignment="1"/>
    <xf numFmtId="0" fontId="0" fillId="10" borderId="0" xfId="0" applyFill="1" applyAlignment="1">
      <alignment horizontal="center"/>
    </xf>
    <xf numFmtId="0" fontId="2" fillId="5" borderId="1" xfId="2" applyBorder="1" applyAlignment="1">
      <alignment horizontal="center" vertical="center"/>
    </xf>
    <xf numFmtId="0" fontId="2" fillId="5" borderId="2" xfId="2" applyBorder="1" applyAlignment="1">
      <alignment horizontal="center" vertical="center"/>
    </xf>
    <xf numFmtId="168" fontId="0" fillId="4" borderId="0" xfId="0" applyNumberFormat="1" applyFill="1"/>
  </cellXfs>
  <cellStyles count="4">
    <cellStyle name="Comma" xfId="1" builtinId="3"/>
    <cellStyle name="GrayCell" xfId="3"/>
    <cellStyle name="Heading 3 2" xfId="2"/>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C6" sqref="C6"/>
    </sheetView>
  </sheetViews>
  <sheetFormatPr defaultRowHeight="15" x14ac:dyDescent="0.25"/>
  <cols>
    <col min="1" max="1" width="11.7109375" bestFit="1" customWidth="1"/>
    <col min="2" max="2" width="79.5703125" style="6" customWidth="1"/>
    <col min="3" max="3" width="16.28515625" customWidth="1"/>
    <col min="4" max="4" width="26.140625" customWidth="1"/>
  </cols>
  <sheetData>
    <row r="1" spans="1:6" x14ac:dyDescent="0.25">
      <c r="A1" t="s">
        <v>7</v>
      </c>
    </row>
    <row r="2" spans="1:6" x14ac:dyDescent="0.25">
      <c r="B2" s="6" t="s">
        <v>8</v>
      </c>
    </row>
    <row r="3" spans="1:6" x14ac:dyDescent="0.25">
      <c r="B3" s="6" t="s">
        <v>9</v>
      </c>
    </row>
    <row r="4" spans="1:6" x14ac:dyDescent="0.25">
      <c r="C4" s="2"/>
      <c r="D4" t="s">
        <v>10</v>
      </c>
    </row>
    <row r="5" spans="1:6" x14ac:dyDescent="0.25">
      <c r="C5" s="1"/>
      <c r="D5" t="s">
        <v>11</v>
      </c>
    </row>
    <row r="6" spans="1:6" x14ac:dyDescent="0.25">
      <c r="C6" s="3"/>
      <c r="D6" t="s">
        <v>12</v>
      </c>
    </row>
    <row r="7" spans="1:6" x14ac:dyDescent="0.25">
      <c r="B7" s="6" t="s">
        <v>13</v>
      </c>
    </row>
    <row r="8" spans="1:6" x14ac:dyDescent="0.25">
      <c r="C8" t="s">
        <v>14</v>
      </c>
      <c r="D8" t="s">
        <v>17</v>
      </c>
      <c r="E8" t="s">
        <v>18</v>
      </c>
    </row>
    <row r="9" spans="1:6" x14ac:dyDescent="0.25">
      <c r="C9" t="s">
        <v>15</v>
      </c>
      <c r="D9" t="s">
        <v>16</v>
      </c>
      <c r="E9" t="s">
        <v>18</v>
      </c>
    </row>
    <row r="10" spans="1:6" x14ac:dyDescent="0.25">
      <c r="C10" t="s">
        <v>19</v>
      </c>
      <c r="D10" t="s">
        <v>20</v>
      </c>
    </row>
    <row r="11" spans="1:6" x14ac:dyDescent="0.25">
      <c r="C11" t="s">
        <v>21</v>
      </c>
      <c r="D11" t="s">
        <v>22</v>
      </c>
    </row>
    <row r="12" spans="1:6" x14ac:dyDescent="0.25">
      <c r="B12" s="6" t="s">
        <v>95</v>
      </c>
      <c r="C12" s="1"/>
      <c r="D12" t="s">
        <v>117</v>
      </c>
      <c r="F12" s="31" t="s">
        <v>5</v>
      </c>
    </row>
    <row r="14" spans="1:6" x14ac:dyDescent="0.25">
      <c r="B14" s="6" t="s">
        <v>76</v>
      </c>
    </row>
    <row r="15" spans="1:6" x14ac:dyDescent="0.25">
      <c r="B15" s="6" t="s">
        <v>75</v>
      </c>
    </row>
    <row r="16" spans="1:6" x14ac:dyDescent="0.25">
      <c r="B16" s="6" t="s">
        <v>77</v>
      </c>
    </row>
    <row r="17" spans="1:2" x14ac:dyDescent="0.25">
      <c r="A17" s="3" t="s">
        <v>116</v>
      </c>
      <c r="B17" s="6" t="s">
        <v>104</v>
      </c>
    </row>
    <row r="18" spans="1:2" ht="45" x14ac:dyDescent="0.25">
      <c r="B18" s="6" t="s">
        <v>96</v>
      </c>
    </row>
    <row r="19" spans="1:2" ht="30" x14ac:dyDescent="0.25">
      <c r="B19" s="6" t="s">
        <v>78</v>
      </c>
    </row>
    <row r="20" spans="1:2" x14ac:dyDescent="0.25">
      <c r="B20" s="6" t="s">
        <v>79</v>
      </c>
    </row>
    <row r="21" spans="1:2" x14ac:dyDescent="0.25">
      <c r="B21" s="6" t="s">
        <v>80</v>
      </c>
    </row>
    <row r="22" spans="1:2" ht="30" x14ac:dyDescent="0.25">
      <c r="B22" s="6" t="s">
        <v>81</v>
      </c>
    </row>
    <row r="23" spans="1:2" x14ac:dyDescent="0.25">
      <c r="B23" s="6" t="s">
        <v>82</v>
      </c>
    </row>
    <row r="24" spans="1:2" ht="30" x14ac:dyDescent="0.25">
      <c r="B24" s="6" t="s">
        <v>105</v>
      </c>
    </row>
    <row r="25" spans="1:2" x14ac:dyDescent="0.25">
      <c r="B25" s="6"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18" sqref="B18"/>
    </sheetView>
  </sheetViews>
  <sheetFormatPr defaultRowHeight="15" x14ac:dyDescent="0.25"/>
  <cols>
    <col min="1" max="1" width="31.85546875" customWidth="1"/>
    <col min="2" max="2" width="77.85546875" customWidth="1"/>
  </cols>
  <sheetData>
    <row r="1" spans="1:2" x14ac:dyDescent="0.25">
      <c r="A1" t="s">
        <v>0</v>
      </c>
      <c r="B1" s="1"/>
    </row>
    <row r="2" spans="1:2" x14ac:dyDescent="0.25">
      <c r="A2" t="s">
        <v>1</v>
      </c>
      <c r="B2" s="1"/>
    </row>
    <row r="3" spans="1:2" x14ac:dyDescent="0.25">
      <c r="A3" t="s">
        <v>2</v>
      </c>
      <c r="B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E17" sqref="E17"/>
    </sheetView>
  </sheetViews>
  <sheetFormatPr defaultRowHeight="15" x14ac:dyDescent="0.25"/>
  <cols>
    <col min="1" max="1" width="6.5703125" customWidth="1"/>
    <col min="2" max="2" width="12.140625" bestFit="1" customWidth="1"/>
    <col min="3" max="3" width="19" style="19" customWidth="1"/>
    <col min="4" max="4" width="24.28515625" style="19" bestFit="1" customWidth="1"/>
    <col min="5" max="5" width="34.42578125" customWidth="1"/>
  </cols>
  <sheetData>
    <row r="1" spans="1:5" x14ac:dyDescent="0.25">
      <c r="D1" s="19" t="s">
        <v>88</v>
      </c>
    </row>
    <row r="2" spans="1:5" x14ac:dyDescent="0.25">
      <c r="A2" t="s">
        <v>3</v>
      </c>
      <c r="B2" t="s">
        <v>6</v>
      </c>
      <c r="C2" s="19" t="s">
        <v>86</v>
      </c>
      <c r="D2" s="19" t="s">
        <v>87</v>
      </c>
      <c r="E2" t="s">
        <v>4</v>
      </c>
    </row>
    <row r="3" spans="1:5" x14ac:dyDescent="0.25">
      <c r="B3" s="19">
        <v>1</v>
      </c>
      <c r="C3" s="19">
        <v>10</v>
      </c>
      <c r="D3" s="28"/>
      <c r="E3" t="s">
        <v>72</v>
      </c>
    </row>
    <row r="4" spans="1:5" x14ac:dyDescent="0.25">
      <c r="B4" s="19">
        <v>2</v>
      </c>
      <c r="C4" s="19">
        <v>4</v>
      </c>
      <c r="D4" s="28"/>
      <c r="E4" t="s">
        <v>73</v>
      </c>
    </row>
    <row r="5" spans="1:5" x14ac:dyDescent="0.25">
      <c r="B5" s="19">
        <v>3</v>
      </c>
      <c r="C5" s="19">
        <v>8</v>
      </c>
      <c r="D5" s="28"/>
      <c r="E5" t="s">
        <v>74</v>
      </c>
    </row>
    <row r="6" spans="1:5" x14ac:dyDescent="0.25">
      <c r="B6" s="19">
        <v>4</v>
      </c>
      <c r="C6" s="19">
        <v>8</v>
      </c>
      <c r="D6" s="28"/>
      <c r="E6" t="s">
        <v>89</v>
      </c>
    </row>
    <row r="7" spans="1:5" x14ac:dyDescent="0.25">
      <c r="B7" s="19"/>
    </row>
    <row r="9" spans="1:5" x14ac:dyDescent="0.25">
      <c r="C9" s="19">
        <f>SUM(C3:C7)</f>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B14" sqref="B14"/>
    </sheetView>
  </sheetViews>
  <sheetFormatPr defaultRowHeight="15" x14ac:dyDescent="0.25"/>
  <cols>
    <col min="5" max="5" width="12" customWidth="1"/>
  </cols>
  <sheetData>
    <row r="1" spans="1:5" x14ac:dyDescent="0.25">
      <c r="A1" t="s">
        <v>30</v>
      </c>
      <c r="C1" t="s">
        <v>23</v>
      </c>
    </row>
    <row r="2" spans="1:5" x14ac:dyDescent="0.25">
      <c r="C2" t="s">
        <v>97</v>
      </c>
    </row>
    <row r="4" spans="1:5" x14ac:dyDescent="0.25">
      <c r="B4" t="s">
        <v>54</v>
      </c>
      <c r="D4" t="s">
        <v>27</v>
      </c>
    </row>
    <row r="5" spans="1:5" x14ac:dyDescent="0.25">
      <c r="C5" s="23" t="s">
        <v>26</v>
      </c>
      <c r="D5" s="23" t="s">
        <v>24</v>
      </c>
      <c r="E5" s="23" t="s">
        <v>25</v>
      </c>
    </row>
    <row r="6" spans="1:5" x14ac:dyDescent="0.25">
      <c r="B6" t="s">
        <v>24</v>
      </c>
      <c r="C6" s="24">
        <v>0.15</v>
      </c>
      <c r="D6" s="23">
        <v>0.09</v>
      </c>
      <c r="E6" s="23">
        <v>0.125</v>
      </c>
    </row>
    <row r="7" spans="1:5" x14ac:dyDescent="0.25">
      <c r="B7" t="s">
        <v>25</v>
      </c>
      <c r="C7" s="24">
        <v>0.1</v>
      </c>
      <c r="D7" s="23">
        <v>0.125</v>
      </c>
      <c r="E7" s="23">
        <v>0.04</v>
      </c>
    </row>
    <row r="9" spans="1:5" x14ac:dyDescent="0.25">
      <c r="A9" t="s">
        <v>102</v>
      </c>
      <c r="B9" t="s">
        <v>28</v>
      </c>
    </row>
    <row r="11" spans="1:5" x14ac:dyDescent="0.25">
      <c r="A11" t="s">
        <v>103</v>
      </c>
      <c r="B11" t="s">
        <v>29</v>
      </c>
    </row>
    <row r="14" spans="1:5" x14ac:dyDescent="0.25">
      <c r="A14" t="s">
        <v>101</v>
      </c>
      <c r="B14"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H8"/>
  <sheetViews>
    <sheetView workbookViewId="0">
      <selection activeCell="I7" sqref="I7"/>
    </sheetView>
  </sheetViews>
  <sheetFormatPr defaultRowHeight="15" x14ac:dyDescent="0.25"/>
  <cols>
    <col min="4" max="4" width="8.7109375" bestFit="1" customWidth="1"/>
    <col min="5" max="7" width="10.28515625" bestFit="1" customWidth="1"/>
  </cols>
  <sheetData>
    <row r="1" spans="3:8" x14ac:dyDescent="0.25">
      <c r="D1" t="s">
        <v>4</v>
      </c>
      <c r="E1" s="19" t="s">
        <v>102</v>
      </c>
      <c r="F1" s="19" t="s">
        <v>103</v>
      </c>
      <c r="G1" t="s">
        <v>101</v>
      </c>
    </row>
    <row r="2" spans="3:8" x14ac:dyDescent="0.25">
      <c r="D2" s="31" t="s">
        <v>5</v>
      </c>
      <c r="E2" s="33">
        <v>1</v>
      </c>
      <c r="F2" s="33">
        <v>1</v>
      </c>
      <c r="G2" s="33">
        <v>4</v>
      </c>
    </row>
    <row r="3" spans="3:8" x14ac:dyDescent="0.25">
      <c r="C3" t="s">
        <v>99</v>
      </c>
      <c r="E3" t="s">
        <v>90</v>
      </c>
      <c r="F3" t="s">
        <v>91</v>
      </c>
      <c r="G3" t="s">
        <v>98</v>
      </c>
    </row>
    <row r="4" spans="3:8" x14ac:dyDescent="0.25">
      <c r="C4" t="s">
        <v>24</v>
      </c>
      <c r="D4" t="s">
        <v>92</v>
      </c>
      <c r="E4">
        <v>0.3</v>
      </c>
      <c r="F4">
        <v>0.2</v>
      </c>
      <c r="G4" s="1"/>
      <c r="H4" t="s">
        <v>108</v>
      </c>
    </row>
    <row r="5" spans="3:8" x14ac:dyDescent="0.25">
      <c r="C5" t="s">
        <v>100</v>
      </c>
      <c r="D5" t="s">
        <v>92</v>
      </c>
      <c r="E5">
        <v>0.7</v>
      </c>
      <c r="F5">
        <v>0.8</v>
      </c>
      <c r="G5" s="1"/>
      <c r="H5" t="s">
        <v>108</v>
      </c>
    </row>
    <row r="7" spans="3:8" x14ac:dyDescent="0.25">
      <c r="D7" t="s">
        <v>53</v>
      </c>
      <c r="E7" s="1"/>
      <c r="F7" s="1"/>
      <c r="G7" s="1"/>
      <c r="H7" t="s">
        <v>109</v>
      </c>
    </row>
    <row r="8" spans="3:8" x14ac:dyDescent="0.25">
      <c r="D8" t="s">
        <v>55</v>
      </c>
      <c r="E8" s="1"/>
      <c r="F8" s="1"/>
      <c r="G8" s="36">
        <f>0.1</f>
        <v>0.1</v>
      </c>
      <c r="H8"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
  <sheetViews>
    <sheetView workbookViewId="0">
      <selection activeCell="N6" sqref="N6"/>
    </sheetView>
  </sheetViews>
  <sheetFormatPr defaultRowHeight="15" x14ac:dyDescent="0.25"/>
  <cols>
    <col min="8" max="8" width="9.140625" style="30"/>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B1" sqref="B1"/>
    </sheetView>
  </sheetViews>
  <sheetFormatPr defaultRowHeight="15" x14ac:dyDescent="0.25"/>
  <cols>
    <col min="2" max="2" width="128.28515625" style="6" customWidth="1"/>
  </cols>
  <sheetData>
    <row r="1" spans="1:2" ht="31.5" x14ac:dyDescent="0.25">
      <c r="A1" t="s">
        <v>115</v>
      </c>
      <c r="B1" s="5" t="s">
        <v>114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workbookViewId="0">
      <selection activeCell="B1" sqref="B1"/>
    </sheetView>
  </sheetViews>
  <sheetFormatPr defaultRowHeight="15" x14ac:dyDescent="0.25"/>
  <cols>
    <col min="1" max="1" width="10.42578125" bestFit="1" customWidth="1"/>
  </cols>
  <sheetData>
    <row r="1" spans="1:11" ht="105" x14ac:dyDescent="0.25">
      <c r="A1" s="7" t="s">
        <v>31</v>
      </c>
      <c r="B1" s="8" t="s">
        <v>32</v>
      </c>
      <c r="C1" s="8" t="s">
        <v>33</v>
      </c>
      <c r="D1" s="8" t="s">
        <v>34</v>
      </c>
      <c r="E1" s="8" t="s">
        <v>35</v>
      </c>
      <c r="F1" s="8" t="s">
        <v>36</v>
      </c>
      <c r="G1" s="8" t="s">
        <v>37</v>
      </c>
      <c r="H1" s="8" t="s">
        <v>38</v>
      </c>
      <c r="I1" s="8" t="s">
        <v>39</v>
      </c>
      <c r="J1" s="8" t="s">
        <v>40</v>
      </c>
      <c r="K1" s="8" t="s">
        <v>41</v>
      </c>
    </row>
    <row r="2" spans="1:11" x14ac:dyDescent="0.25">
      <c r="A2" s="9">
        <v>40544</v>
      </c>
      <c r="B2">
        <v>239.05</v>
      </c>
      <c r="C2">
        <v>208.15</v>
      </c>
      <c r="D2">
        <v>728.2</v>
      </c>
      <c r="E2">
        <v>68.47</v>
      </c>
      <c r="F2">
        <v>228.55</v>
      </c>
      <c r="G2">
        <v>282.20999999999998</v>
      </c>
      <c r="H2">
        <v>273.52999999999997</v>
      </c>
      <c r="I2">
        <v>264.64999999999998</v>
      </c>
      <c r="J2">
        <v>763.02</v>
      </c>
      <c r="K2">
        <v>870.3</v>
      </c>
    </row>
    <row r="3" spans="1:11" x14ac:dyDescent="0.25">
      <c r="A3" s="9">
        <v>40545</v>
      </c>
      <c r="B3">
        <v>203.96</v>
      </c>
      <c r="C3">
        <v>180.87</v>
      </c>
      <c r="D3">
        <v>633.25</v>
      </c>
      <c r="E3">
        <v>54.54</v>
      </c>
      <c r="F3">
        <v>188.37</v>
      </c>
      <c r="G3">
        <v>259.39999999999998</v>
      </c>
      <c r="H3">
        <v>248.53</v>
      </c>
      <c r="I3">
        <v>218.65</v>
      </c>
      <c r="J3">
        <v>657.69</v>
      </c>
      <c r="K3">
        <v>717.55</v>
      </c>
    </row>
    <row r="4" spans="1:11" x14ac:dyDescent="0.25">
      <c r="A4" s="9">
        <v>40546</v>
      </c>
      <c r="B4">
        <v>213.9</v>
      </c>
      <c r="C4">
        <v>186.58</v>
      </c>
      <c r="D4">
        <v>650.75</v>
      </c>
      <c r="E4">
        <v>60.01</v>
      </c>
      <c r="F4">
        <v>207.2</v>
      </c>
      <c r="G4">
        <v>270.52999999999997</v>
      </c>
      <c r="H4">
        <v>257.76</v>
      </c>
      <c r="I4">
        <v>232.7</v>
      </c>
      <c r="J4">
        <v>751.91</v>
      </c>
      <c r="K4">
        <v>787.6</v>
      </c>
    </row>
    <row r="5" spans="1:11" x14ac:dyDescent="0.25">
      <c r="A5" s="9">
        <v>40547</v>
      </c>
      <c r="B5">
        <v>233.37</v>
      </c>
      <c r="C5">
        <v>200.53</v>
      </c>
      <c r="D5">
        <v>708.2</v>
      </c>
      <c r="E5">
        <v>67.95</v>
      </c>
      <c r="F5">
        <v>225.5</v>
      </c>
      <c r="G5">
        <v>271.95</v>
      </c>
      <c r="H5">
        <v>281.55</v>
      </c>
      <c r="I5">
        <v>265.55</v>
      </c>
      <c r="J5">
        <v>769.84</v>
      </c>
      <c r="K5">
        <v>809.4</v>
      </c>
    </row>
    <row r="6" spans="1:11" x14ac:dyDescent="0.25">
      <c r="A6" s="9">
        <v>40548</v>
      </c>
      <c r="B6">
        <v>229.01</v>
      </c>
      <c r="C6">
        <v>199.69</v>
      </c>
      <c r="D6">
        <v>699.4</v>
      </c>
      <c r="E6">
        <v>67.16</v>
      </c>
      <c r="F6">
        <v>206.55</v>
      </c>
      <c r="G6">
        <v>269.27</v>
      </c>
      <c r="H6">
        <v>255.29</v>
      </c>
      <c r="I6">
        <v>253.8</v>
      </c>
      <c r="J6">
        <v>717.51</v>
      </c>
      <c r="K6">
        <v>793.6</v>
      </c>
    </row>
    <row r="7" spans="1:11" x14ac:dyDescent="0.25">
      <c r="A7" s="9">
        <v>40549</v>
      </c>
      <c r="B7">
        <v>239.82</v>
      </c>
      <c r="C7">
        <v>197.22</v>
      </c>
      <c r="D7">
        <v>689.1</v>
      </c>
      <c r="E7">
        <v>61.39</v>
      </c>
      <c r="F7">
        <v>220.55</v>
      </c>
      <c r="G7">
        <v>232.92</v>
      </c>
      <c r="H7">
        <v>255.65</v>
      </c>
      <c r="I7">
        <v>264.7</v>
      </c>
      <c r="J7">
        <v>684.58</v>
      </c>
      <c r="K7">
        <v>767.35</v>
      </c>
    </row>
    <row r="8" spans="1:11" x14ac:dyDescent="0.25">
      <c r="A8" s="9">
        <v>40550</v>
      </c>
      <c r="B8">
        <v>250.12</v>
      </c>
      <c r="C8">
        <v>199.06</v>
      </c>
      <c r="D8">
        <v>703.3</v>
      </c>
      <c r="E8">
        <v>60.32</v>
      </c>
      <c r="F8">
        <v>236.7</v>
      </c>
      <c r="G8">
        <v>242.03</v>
      </c>
      <c r="H8">
        <v>261.83</v>
      </c>
      <c r="I8">
        <v>275</v>
      </c>
      <c r="J8">
        <v>638.01</v>
      </c>
      <c r="K8">
        <v>737.9</v>
      </c>
    </row>
    <row r="9" spans="1:11" x14ac:dyDescent="0.25">
      <c r="A9" s="9">
        <v>40551</v>
      </c>
      <c r="B9">
        <v>244</v>
      </c>
      <c r="C9">
        <v>190.06</v>
      </c>
      <c r="D9">
        <v>694.6</v>
      </c>
      <c r="E9">
        <v>69</v>
      </c>
      <c r="F9">
        <v>227.1</v>
      </c>
      <c r="G9">
        <v>234.51</v>
      </c>
      <c r="H9">
        <v>270.60000000000002</v>
      </c>
      <c r="I9">
        <v>272.55</v>
      </c>
      <c r="J9">
        <v>611.5</v>
      </c>
      <c r="K9">
        <v>776.95</v>
      </c>
    </row>
    <row r="10" spans="1:11" x14ac:dyDescent="0.25">
      <c r="A10" s="9">
        <v>40552</v>
      </c>
      <c r="B10">
        <v>235.97</v>
      </c>
      <c r="C10">
        <v>158.77000000000001</v>
      </c>
      <c r="D10">
        <v>662.65</v>
      </c>
      <c r="E10">
        <v>59.78</v>
      </c>
      <c r="F10">
        <v>221.35</v>
      </c>
      <c r="G10">
        <v>197.38</v>
      </c>
      <c r="H10">
        <v>214.55</v>
      </c>
      <c r="I10">
        <v>246.6</v>
      </c>
      <c r="J10">
        <v>616.86</v>
      </c>
      <c r="K10">
        <v>749.95</v>
      </c>
    </row>
    <row r="11" spans="1:11" x14ac:dyDescent="0.25">
      <c r="A11" s="9">
        <v>40553</v>
      </c>
      <c r="B11">
        <v>228.02</v>
      </c>
      <c r="C11">
        <v>152.56</v>
      </c>
      <c r="D11">
        <v>634.45000000000005</v>
      </c>
      <c r="E11">
        <v>62.03</v>
      </c>
      <c r="F11">
        <v>223.12</v>
      </c>
      <c r="G11">
        <v>186.16</v>
      </c>
      <c r="H11">
        <v>197.7</v>
      </c>
      <c r="I11">
        <v>255.1</v>
      </c>
      <c r="J11">
        <v>599.13</v>
      </c>
      <c r="K11">
        <v>722.35</v>
      </c>
    </row>
    <row r="12" spans="1:11" x14ac:dyDescent="0.25">
      <c r="A12" s="9">
        <v>40554</v>
      </c>
      <c r="B12">
        <v>241.15</v>
      </c>
      <c r="C12">
        <v>162.72999999999999</v>
      </c>
      <c r="D12">
        <v>684.35</v>
      </c>
      <c r="E12">
        <v>67.14</v>
      </c>
      <c r="F12">
        <v>252.32</v>
      </c>
      <c r="G12">
        <v>190.14</v>
      </c>
      <c r="H12">
        <v>227.19</v>
      </c>
      <c r="I12">
        <v>279.5</v>
      </c>
      <c r="J12">
        <v>592.30999999999995</v>
      </c>
      <c r="K12">
        <v>744.45</v>
      </c>
    </row>
    <row r="13" spans="1:11" x14ac:dyDescent="0.25">
      <c r="A13" s="9">
        <v>40555</v>
      </c>
      <c r="B13">
        <v>226.75</v>
      </c>
      <c r="C13">
        <v>138.57</v>
      </c>
      <c r="D13">
        <v>656.1</v>
      </c>
      <c r="E13">
        <v>61.91</v>
      </c>
      <c r="F13">
        <v>239.4</v>
      </c>
      <c r="G13">
        <v>182.41</v>
      </c>
      <c r="H13">
        <v>194.52</v>
      </c>
      <c r="I13">
        <v>260.75</v>
      </c>
      <c r="J13">
        <v>507.69</v>
      </c>
      <c r="K13">
        <v>710.8</v>
      </c>
    </row>
    <row r="14" spans="1:11" x14ac:dyDescent="0.25">
      <c r="A14" s="9">
        <v>40909</v>
      </c>
      <c r="B14">
        <v>213.42</v>
      </c>
      <c r="C14">
        <v>126.65</v>
      </c>
      <c r="D14">
        <v>650.4</v>
      </c>
      <c r="E14">
        <v>58.63</v>
      </c>
      <c r="F14">
        <v>210.87</v>
      </c>
      <c r="G14">
        <v>162.76</v>
      </c>
      <c r="H14">
        <v>158.96</v>
      </c>
      <c r="I14">
        <v>226.45</v>
      </c>
      <c r="J14">
        <v>409.23</v>
      </c>
      <c r="K14">
        <v>669.45</v>
      </c>
    </row>
    <row r="15" spans="1:11" x14ac:dyDescent="0.25">
      <c r="A15" s="9">
        <v>40910</v>
      </c>
      <c r="B15">
        <v>248.57</v>
      </c>
      <c r="C15">
        <v>161.80000000000001</v>
      </c>
      <c r="D15">
        <v>688.9</v>
      </c>
      <c r="E15">
        <v>75.53</v>
      </c>
      <c r="F15">
        <v>255.47</v>
      </c>
      <c r="G15">
        <v>207.76</v>
      </c>
      <c r="H15">
        <v>217.62</v>
      </c>
      <c r="I15">
        <v>293.45</v>
      </c>
      <c r="J15">
        <v>569.22</v>
      </c>
      <c r="K15">
        <v>665.55</v>
      </c>
    </row>
    <row r="16" spans="1:11" x14ac:dyDescent="0.25">
      <c r="A16" s="9">
        <v>40911</v>
      </c>
      <c r="B16">
        <v>257</v>
      </c>
      <c r="C16">
        <v>160.63999999999999</v>
      </c>
      <c r="D16">
        <v>669.4</v>
      </c>
      <c r="E16">
        <v>75.13</v>
      </c>
      <c r="F16">
        <v>277.39999999999998</v>
      </c>
      <c r="G16">
        <v>221.87</v>
      </c>
      <c r="H16">
        <v>230.58</v>
      </c>
      <c r="I16">
        <v>309.95</v>
      </c>
      <c r="J16">
        <v>532.78</v>
      </c>
      <c r="K16">
        <v>806.2</v>
      </c>
    </row>
    <row r="17" spans="1:11" x14ac:dyDescent="0.25">
      <c r="A17" s="9">
        <v>40912</v>
      </c>
      <c r="B17">
        <v>264.17</v>
      </c>
      <c r="C17">
        <v>161.9</v>
      </c>
      <c r="D17">
        <v>683.15</v>
      </c>
      <c r="E17">
        <v>81.099999999999994</v>
      </c>
      <c r="F17">
        <v>278</v>
      </c>
      <c r="G17">
        <v>213.04</v>
      </c>
      <c r="H17">
        <v>230.96</v>
      </c>
      <c r="I17">
        <v>326.2</v>
      </c>
      <c r="J17">
        <v>576.38</v>
      </c>
      <c r="K17">
        <v>829.2</v>
      </c>
    </row>
    <row r="18" spans="1:11" x14ac:dyDescent="0.25">
      <c r="A18" s="9">
        <v>40913</v>
      </c>
      <c r="B18">
        <v>271.25</v>
      </c>
      <c r="C18">
        <v>160.43</v>
      </c>
      <c r="D18">
        <v>673.6</v>
      </c>
      <c r="E18">
        <v>84.9</v>
      </c>
      <c r="F18">
        <v>291.39999999999998</v>
      </c>
      <c r="G18">
        <v>213.81</v>
      </c>
      <c r="H18">
        <v>221.39</v>
      </c>
      <c r="I18">
        <v>331.7</v>
      </c>
      <c r="J18">
        <v>558.01</v>
      </c>
      <c r="K18">
        <v>843.25</v>
      </c>
    </row>
    <row r="19" spans="1:11" x14ac:dyDescent="0.25">
      <c r="A19" s="9">
        <v>40914</v>
      </c>
      <c r="B19">
        <v>245.2</v>
      </c>
      <c r="C19">
        <v>142.13</v>
      </c>
      <c r="D19">
        <v>643.25</v>
      </c>
      <c r="E19">
        <v>82.11</v>
      </c>
      <c r="F19">
        <v>271.52</v>
      </c>
      <c r="G19">
        <v>202.82</v>
      </c>
      <c r="H19">
        <v>192.91</v>
      </c>
      <c r="I19">
        <v>298.10000000000002</v>
      </c>
      <c r="J19">
        <v>503.69</v>
      </c>
      <c r="K19">
        <v>764.15</v>
      </c>
    </row>
    <row r="20" spans="1:11" x14ac:dyDescent="0.25">
      <c r="A20" s="9">
        <v>40915</v>
      </c>
      <c r="B20">
        <v>286.97000000000003</v>
      </c>
      <c r="C20">
        <v>162.62</v>
      </c>
      <c r="D20">
        <v>662.35</v>
      </c>
      <c r="E20">
        <v>88.27</v>
      </c>
      <c r="F20">
        <v>299.42</v>
      </c>
      <c r="G20">
        <v>218.19</v>
      </c>
      <c r="H20">
        <v>205.86</v>
      </c>
      <c r="I20">
        <v>338.5</v>
      </c>
      <c r="J20">
        <v>521.57000000000005</v>
      </c>
      <c r="K20">
        <v>786.95</v>
      </c>
    </row>
    <row r="21" spans="1:11" x14ac:dyDescent="0.25">
      <c r="A21" s="9">
        <v>40916</v>
      </c>
      <c r="B21">
        <v>293.25</v>
      </c>
      <c r="C21">
        <v>174.47</v>
      </c>
      <c r="D21">
        <v>699.85</v>
      </c>
      <c r="E21">
        <v>101.51</v>
      </c>
      <c r="F21">
        <v>277.47000000000003</v>
      </c>
      <c r="G21">
        <v>203.34</v>
      </c>
      <c r="H21">
        <v>209.2</v>
      </c>
      <c r="I21">
        <v>329.95</v>
      </c>
      <c r="J21">
        <v>559.62</v>
      </c>
      <c r="K21">
        <v>778.05</v>
      </c>
    </row>
    <row r="22" spans="1:11" x14ac:dyDescent="0.25">
      <c r="A22" s="9">
        <v>40917</v>
      </c>
      <c r="B22">
        <v>295.22000000000003</v>
      </c>
      <c r="C22">
        <v>164.15</v>
      </c>
      <c r="D22">
        <v>734.65</v>
      </c>
      <c r="E22">
        <v>101.77</v>
      </c>
      <c r="F22">
        <v>287.37</v>
      </c>
      <c r="G22">
        <v>185.07</v>
      </c>
      <c r="H22">
        <v>195.52</v>
      </c>
      <c r="I22">
        <v>314.95</v>
      </c>
      <c r="J22">
        <v>602.88</v>
      </c>
      <c r="K22">
        <v>772.1</v>
      </c>
    </row>
    <row r="23" spans="1:11" x14ac:dyDescent="0.25">
      <c r="A23" s="9">
        <v>40918</v>
      </c>
      <c r="B23">
        <v>311.42</v>
      </c>
      <c r="C23">
        <v>191.03</v>
      </c>
      <c r="D23">
        <v>768.95</v>
      </c>
      <c r="E23">
        <v>115.75</v>
      </c>
      <c r="F23">
        <v>322.55</v>
      </c>
      <c r="G23">
        <v>227.01</v>
      </c>
      <c r="H23">
        <v>226.14</v>
      </c>
      <c r="I23">
        <v>363</v>
      </c>
      <c r="J23">
        <v>607.27</v>
      </c>
      <c r="K23">
        <v>802.9</v>
      </c>
    </row>
    <row r="24" spans="1:11" x14ac:dyDescent="0.25">
      <c r="A24" s="9">
        <v>40919</v>
      </c>
      <c r="B24">
        <v>314.3</v>
      </c>
      <c r="C24">
        <v>192.25</v>
      </c>
      <c r="D24">
        <v>763.5</v>
      </c>
      <c r="E24">
        <v>125.43</v>
      </c>
      <c r="F24">
        <v>306.27</v>
      </c>
      <c r="G24">
        <v>211.55</v>
      </c>
      <c r="H24">
        <v>241.43</v>
      </c>
      <c r="I24">
        <v>363.9</v>
      </c>
      <c r="J24">
        <v>616.72</v>
      </c>
      <c r="K24">
        <v>860.3</v>
      </c>
    </row>
    <row r="25" spans="1:11" x14ac:dyDescent="0.25">
      <c r="A25" s="9">
        <v>40920</v>
      </c>
      <c r="B25">
        <v>343.47</v>
      </c>
      <c r="C25">
        <v>200.42</v>
      </c>
      <c r="D25">
        <v>836.2</v>
      </c>
      <c r="E25">
        <v>133.09</v>
      </c>
      <c r="F25">
        <v>333.07</v>
      </c>
      <c r="G25">
        <v>220.4</v>
      </c>
      <c r="H25">
        <v>264.32</v>
      </c>
      <c r="I25">
        <v>422.1</v>
      </c>
      <c r="J25">
        <v>656.66</v>
      </c>
      <c r="K25">
        <v>861.85</v>
      </c>
    </row>
    <row r="26" spans="1:11" x14ac:dyDescent="0.25">
      <c r="A26" s="9">
        <v>41275</v>
      </c>
      <c r="B26">
        <v>342.25</v>
      </c>
      <c r="C26">
        <v>210.63</v>
      </c>
      <c r="D26">
        <v>832.95</v>
      </c>
      <c r="E26">
        <v>132.63999999999999</v>
      </c>
      <c r="F26">
        <v>324.97000000000003</v>
      </c>
      <c r="G26">
        <v>242.64</v>
      </c>
      <c r="H26">
        <v>272.54000000000002</v>
      </c>
      <c r="I26">
        <v>423.25</v>
      </c>
      <c r="J26">
        <v>736.61</v>
      </c>
      <c r="K26">
        <v>989.45</v>
      </c>
    </row>
    <row r="27" spans="1:11" x14ac:dyDescent="0.25">
      <c r="A27" s="9">
        <v>41276</v>
      </c>
      <c r="B27">
        <v>320.07</v>
      </c>
      <c r="C27">
        <v>212.94</v>
      </c>
      <c r="D27">
        <v>777.95</v>
      </c>
      <c r="E27">
        <v>129.61000000000001</v>
      </c>
      <c r="F27">
        <v>336.15</v>
      </c>
      <c r="G27">
        <v>241.23</v>
      </c>
      <c r="H27">
        <v>301.93</v>
      </c>
      <c r="I27">
        <v>438.3</v>
      </c>
      <c r="J27">
        <v>757.41</v>
      </c>
      <c r="K27">
        <v>972.15</v>
      </c>
    </row>
    <row r="28" spans="1:11" x14ac:dyDescent="0.25">
      <c r="A28" s="9">
        <v>41277</v>
      </c>
      <c r="B28">
        <v>311.25</v>
      </c>
      <c r="C28">
        <v>192.06</v>
      </c>
      <c r="D28">
        <v>777.5</v>
      </c>
      <c r="E28">
        <v>128.22999999999999</v>
      </c>
      <c r="F28">
        <v>327.42</v>
      </c>
      <c r="G28">
        <v>208.76</v>
      </c>
      <c r="H28">
        <v>272.74</v>
      </c>
      <c r="I28">
        <v>400.95</v>
      </c>
      <c r="J28">
        <v>682</v>
      </c>
      <c r="K28">
        <v>955.4</v>
      </c>
    </row>
    <row r="29" spans="1:11" x14ac:dyDescent="0.25">
      <c r="A29" s="9">
        <v>41278</v>
      </c>
      <c r="B29">
        <v>311.92</v>
      </c>
      <c r="C29">
        <v>191.19</v>
      </c>
      <c r="D29">
        <v>825.2</v>
      </c>
      <c r="E29">
        <v>117.31</v>
      </c>
      <c r="F29">
        <v>326</v>
      </c>
      <c r="G29">
        <v>209.06</v>
      </c>
      <c r="H29">
        <v>262.98</v>
      </c>
      <c r="I29">
        <v>415.7</v>
      </c>
      <c r="J29">
        <v>699.1</v>
      </c>
      <c r="K29">
        <v>914.15</v>
      </c>
    </row>
    <row r="30" spans="1:11" x14ac:dyDescent="0.25">
      <c r="A30" s="9">
        <v>41279</v>
      </c>
      <c r="B30">
        <v>341.15</v>
      </c>
      <c r="C30">
        <v>211.57</v>
      </c>
      <c r="D30">
        <v>847.6</v>
      </c>
      <c r="E30">
        <v>122.62</v>
      </c>
      <c r="F30">
        <v>353.55</v>
      </c>
      <c r="G30">
        <v>226.43</v>
      </c>
      <c r="H30">
        <v>298.54000000000002</v>
      </c>
      <c r="I30">
        <v>467.75</v>
      </c>
      <c r="J30">
        <v>726.33</v>
      </c>
      <c r="K30">
        <v>889.5</v>
      </c>
    </row>
    <row r="31" spans="1:11" x14ac:dyDescent="0.25">
      <c r="A31" s="9">
        <v>41280</v>
      </c>
      <c r="B31">
        <v>344.57</v>
      </c>
      <c r="C31">
        <v>208.21</v>
      </c>
      <c r="D31">
        <v>869.05</v>
      </c>
      <c r="E31">
        <v>147.79</v>
      </c>
      <c r="F31">
        <v>385.2</v>
      </c>
      <c r="G31">
        <v>206.98</v>
      </c>
      <c r="H31">
        <v>286.17</v>
      </c>
      <c r="I31">
        <v>509.9</v>
      </c>
      <c r="J31">
        <v>786.01</v>
      </c>
      <c r="K31">
        <v>925.3</v>
      </c>
    </row>
    <row r="32" spans="1:11" x14ac:dyDescent="0.25">
      <c r="A32" s="9">
        <v>41281</v>
      </c>
      <c r="B32">
        <v>334.37</v>
      </c>
      <c r="C32">
        <v>194.16</v>
      </c>
      <c r="D32">
        <v>889.65</v>
      </c>
      <c r="E32">
        <v>143.9</v>
      </c>
      <c r="F32">
        <v>361.97</v>
      </c>
      <c r="G32">
        <v>201.56</v>
      </c>
      <c r="H32">
        <v>269.76</v>
      </c>
      <c r="I32">
        <v>471.95</v>
      </c>
      <c r="J32">
        <v>685.21</v>
      </c>
      <c r="K32">
        <v>805.45</v>
      </c>
    </row>
    <row r="33" spans="1:11" x14ac:dyDescent="0.25">
      <c r="A33" s="9">
        <v>41282</v>
      </c>
      <c r="B33">
        <v>316.10000000000002</v>
      </c>
      <c r="C33">
        <v>166.22</v>
      </c>
      <c r="D33">
        <v>817</v>
      </c>
      <c r="E33">
        <v>112.98</v>
      </c>
      <c r="F33">
        <v>333.15</v>
      </c>
      <c r="G33">
        <v>168.32</v>
      </c>
      <c r="H33">
        <v>217.16</v>
      </c>
      <c r="I33">
        <v>392.95</v>
      </c>
      <c r="J33">
        <v>583.83000000000004</v>
      </c>
      <c r="K33">
        <v>801.9</v>
      </c>
    </row>
    <row r="34" spans="1:11" x14ac:dyDescent="0.25">
      <c r="A34" s="9">
        <v>41283</v>
      </c>
      <c r="B34">
        <v>294.75</v>
      </c>
      <c r="C34">
        <v>150.29</v>
      </c>
      <c r="D34">
        <v>738.4</v>
      </c>
      <c r="E34">
        <v>101.18</v>
      </c>
      <c r="F34">
        <v>313.5</v>
      </c>
      <c r="G34">
        <v>151.63</v>
      </c>
      <c r="H34">
        <v>172.86</v>
      </c>
      <c r="I34">
        <v>381.05</v>
      </c>
      <c r="J34">
        <v>503.98</v>
      </c>
      <c r="K34">
        <v>802.85</v>
      </c>
    </row>
    <row r="35" spans="1:11" x14ac:dyDescent="0.25">
      <c r="A35" s="9">
        <v>41284</v>
      </c>
      <c r="B35">
        <v>305.82</v>
      </c>
      <c r="C35">
        <v>165.59</v>
      </c>
      <c r="D35">
        <v>785.9</v>
      </c>
      <c r="E35">
        <v>115.55</v>
      </c>
      <c r="F35">
        <v>342.55</v>
      </c>
      <c r="G35">
        <v>164.33</v>
      </c>
      <c r="H35">
        <v>208.82</v>
      </c>
      <c r="I35">
        <v>383.05</v>
      </c>
      <c r="J35">
        <v>554.21</v>
      </c>
      <c r="K35">
        <v>780.65</v>
      </c>
    </row>
    <row r="36" spans="1:11" x14ac:dyDescent="0.25">
      <c r="A36" s="9">
        <v>41285</v>
      </c>
      <c r="B36">
        <v>341.9</v>
      </c>
      <c r="C36">
        <v>206.08</v>
      </c>
      <c r="D36">
        <v>855.4</v>
      </c>
      <c r="E36">
        <v>136.72999999999999</v>
      </c>
      <c r="F36">
        <v>374.25</v>
      </c>
      <c r="G36">
        <v>187.9</v>
      </c>
      <c r="H36">
        <v>243.78</v>
      </c>
      <c r="I36">
        <v>449.15</v>
      </c>
      <c r="J36">
        <v>628.51</v>
      </c>
      <c r="K36">
        <v>844.35</v>
      </c>
    </row>
    <row r="37" spans="1:11" x14ac:dyDescent="0.25">
      <c r="A37" s="9">
        <v>41286</v>
      </c>
      <c r="B37">
        <v>330.65</v>
      </c>
      <c r="C37">
        <v>197.87</v>
      </c>
      <c r="D37">
        <v>827.65</v>
      </c>
      <c r="E37">
        <v>140.62</v>
      </c>
      <c r="F37">
        <v>385.27</v>
      </c>
      <c r="G37">
        <v>182.21</v>
      </c>
      <c r="H37">
        <v>238.15</v>
      </c>
      <c r="I37">
        <v>433.4</v>
      </c>
      <c r="J37">
        <v>585.63</v>
      </c>
      <c r="K37">
        <v>860.75</v>
      </c>
    </row>
    <row r="38" spans="1:11" x14ac:dyDescent="0.25">
      <c r="A38" s="9">
        <v>41640</v>
      </c>
      <c r="B38">
        <v>332.57</v>
      </c>
      <c r="C38">
        <v>199.58</v>
      </c>
      <c r="D38">
        <v>793.5</v>
      </c>
      <c r="E38">
        <v>157.03</v>
      </c>
      <c r="F38">
        <v>361.27</v>
      </c>
      <c r="G38">
        <v>176.5</v>
      </c>
      <c r="H38">
        <v>258.44</v>
      </c>
      <c r="I38">
        <v>423.35</v>
      </c>
      <c r="J38">
        <v>654.96</v>
      </c>
      <c r="K38">
        <v>896.55</v>
      </c>
    </row>
    <row r="39" spans="1:11" x14ac:dyDescent="0.25">
      <c r="A39" s="9">
        <v>41641</v>
      </c>
      <c r="B39">
        <v>313.25</v>
      </c>
      <c r="C39">
        <v>175.18</v>
      </c>
      <c r="D39">
        <v>788.85</v>
      </c>
      <c r="E39">
        <v>149.24</v>
      </c>
      <c r="F39">
        <v>327.47000000000003</v>
      </c>
      <c r="G39">
        <v>148.83000000000001</v>
      </c>
      <c r="H39">
        <v>224.78</v>
      </c>
      <c r="I39">
        <v>382.3</v>
      </c>
      <c r="J39">
        <v>603.71</v>
      </c>
      <c r="K39">
        <v>931.65</v>
      </c>
    </row>
    <row r="40" spans="1:11" x14ac:dyDescent="0.25">
      <c r="A40" s="9">
        <v>41642</v>
      </c>
      <c r="B40">
        <v>333.1</v>
      </c>
      <c r="C40">
        <v>187.24</v>
      </c>
      <c r="D40">
        <v>812.55</v>
      </c>
      <c r="E40">
        <v>158.88999999999999</v>
      </c>
      <c r="F40">
        <v>334.97</v>
      </c>
      <c r="G40">
        <v>151.83000000000001</v>
      </c>
      <c r="H40">
        <v>251.1</v>
      </c>
      <c r="I40">
        <v>392.25</v>
      </c>
      <c r="J40">
        <v>564.29999999999995</v>
      </c>
      <c r="K40">
        <v>959.45</v>
      </c>
    </row>
    <row r="41" spans="1:11" x14ac:dyDescent="0.25">
      <c r="A41" s="9">
        <v>41643</v>
      </c>
      <c r="B41">
        <v>369.05</v>
      </c>
      <c r="C41">
        <v>222.54</v>
      </c>
      <c r="D41">
        <v>888.8</v>
      </c>
      <c r="E41">
        <v>177.74</v>
      </c>
      <c r="F41">
        <v>381.85</v>
      </c>
      <c r="G41">
        <v>189.36</v>
      </c>
      <c r="H41">
        <v>293.7</v>
      </c>
      <c r="I41">
        <v>499.25</v>
      </c>
      <c r="J41">
        <v>735.49</v>
      </c>
      <c r="K41">
        <v>1004.05</v>
      </c>
    </row>
    <row r="42" spans="1:11" x14ac:dyDescent="0.25">
      <c r="A42" s="9">
        <v>41644</v>
      </c>
      <c r="B42">
        <v>360.65</v>
      </c>
      <c r="C42">
        <v>226.07</v>
      </c>
      <c r="D42">
        <v>897.95</v>
      </c>
      <c r="E42">
        <v>186.99</v>
      </c>
      <c r="F42">
        <v>401.3</v>
      </c>
      <c r="G42">
        <v>207.86</v>
      </c>
      <c r="H42">
        <v>303.44</v>
      </c>
      <c r="I42">
        <v>478.35</v>
      </c>
      <c r="J42">
        <v>715.95</v>
      </c>
      <c r="K42">
        <v>1049.5999999999999</v>
      </c>
    </row>
    <row r="43" spans="1:11" x14ac:dyDescent="0.25">
      <c r="A43" s="9">
        <v>41645</v>
      </c>
      <c r="B43">
        <v>409.7</v>
      </c>
      <c r="C43">
        <v>266.22000000000003</v>
      </c>
      <c r="D43">
        <v>896.35</v>
      </c>
      <c r="E43">
        <v>208.37</v>
      </c>
      <c r="F43">
        <v>443.3</v>
      </c>
      <c r="G43">
        <v>264.47000000000003</v>
      </c>
      <c r="H43">
        <v>380.17</v>
      </c>
      <c r="I43">
        <v>552.4</v>
      </c>
      <c r="J43">
        <v>917.26</v>
      </c>
      <c r="K43">
        <v>1151.1500000000001</v>
      </c>
    </row>
    <row r="44" spans="1:11" x14ac:dyDescent="0.25">
      <c r="A44" s="9">
        <v>41646</v>
      </c>
      <c r="B44">
        <v>411.65</v>
      </c>
      <c r="C44">
        <v>261.45999999999998</v>
      </c>
      <c r="D44">
        <v>984.1</v>
      </c>
      <c r="E44">
        <v>200.96</v>
      </c>
      <c r="F44">
        <v>442.17</v>
      </c>
      <c r="G44">
        <v>268.02</v>
      </c>
      <c r="H44">
        <v>384.01</v>
      </c>
      <c r="I44">
        <v>575.45000000000005</v>
      </c>
      <c r="J44">
        <v>881.3</v>
      </c>
      <c r="K44">
        <v>1382.75</v>
      </c>
    </row>
    <row r="45" spans="1:11" x14ac:dyDescent="0.25">
      <c r="A45" s="9">
        <v>41647</v>
      </c>
      <c r="B45">
        <v>407.72</v>
      </c>
      <c r="C45">
        <v>268.3</v>
      </c>
      <c r="D45">
        <v>1039.6500000000001</v>
      </c>
      <c r="E45">
        <v>219.83</v>
      </c>
      <c r="F45">
        <v>462.65</v>
      </c>
      <c r="G45">
        <v>243.72</v>
      </c>
      <c r="H45">
        <v>387</v>
      </c>
      <c r="I45">
        <v>548.6</v>
      </c>
      <c r="J45">
        <v>862.69</v>
      </c>
      <c r="K45">
        <v>1319.25</v>
      </c>
    </row>
    <row r="46" spans="1:11" x14ac:dyDescent="0.25">
      <c r="A46" s="9">
        <v>41648</v>
      </c>
      <c r="B46">
        <v>420.6</v>
      </c>
      <c r="C46">
        <v>290.60000000000002</v>
      </c>
      <c r="D46">
        <v>1058.7</v>
      </c>
      <c r="E46">
        <v>243.71</v>
      </c>
      <c r="F46">
        <v>523.97</v>
      </c>
      <c r="G46">
        <v>250.43</v>
      </c>
      <c r="H46">
        <v>405.4</v>
      </c>
      <c r="I46">
        <v>606.9</v>
      </c>
      <c r="J46">
        <v>918.81</v>
      </c>
      <c r="K46">
        <v>1335.1</v>
      </c>
    </row>
    <row r="47" spans="1:11" x14ac:dyDescent="0.25">
      <c r="A47" s="9">
        <v>41649</v>
      </c>
      <c r="B47">
        <v>434</v>
      </c>
      <c r="C47">
        <v>259.79000000000002</v>
      </c>
      <c r="D47">
        <v>1050.3499999999999</v>
      </c>
      <c r="E47">
        <v>277</v>
      </c>
      <c r="F47">
        <v>505.82</v>
      </c>
      <c r="G47">
        <v>242.33</v>
      </c>
      <c r="H47">
        <v>379.95</v>
      </c>
      <c r="I47">
        <v>601.85</v>
      </c>
      <c r="J47">
        <v>887.05</v>
      </c>
      <c r="K47">
        <v>1380.1</v>
      </c>
    </row>
    <row r="48" spans="1:11" x14ac:dyDescent="0.25">
      <c r="A48" s="9">
        <v>41650</v>
      </c>
      <c r="B48">
        <v>455.35</v>
      </c>
      <c r="C48">
        <v>299.22000000000003</v>
      </c>
      <c r="D48">
        <v>1120.5</v>
      </c>
      <c r="E48">
        <v>278.97000000000003</v>
      </c>
      <c r="F48">
        <v>555.22</v>
      </c>
      <c r="G48">
        <v>272.33999999999997</v>
      </c>
      <c r="H48">
        <v>445.25</v>
      </c>
      <c r="I48">
        <v>708.1</v>
      </c>
      <c r="J48">
        <v>913.07</v>
      </c>
      <c r="K48">
        <v>1383.9</v>
      </c>
    </row>
    <row r="49" spans="1:11" x14ac:dyDescent="0.25">
      <c r="A49" s="9">
        <v>41651</v>
      </c>
      <c r="B49">
        <v>475</v>
      </c>
      <c r="C49">
        <v>319.66000000000003</v>
      </c>
      <c r="D49">
        <v>1137.55</v>
      </c>
      <c r="E49">
        <v>308.70999999999998</v>
      </c>
      <c r="F49">
        <v>600.87</v>
      </c>
      <c r="G49">
        <v>319.60000000000002</v>
      </c>
      <c r="H49">
        <v>489.15</v>
      </c>
      <c r="I49">
        <v>772.95</v>
      </c>
      <c r="J49">
        <v>1088.1600000000001</v>
      </c>
      <c r="K49">
        <v>1423.35</v>
      </c>
    </row>
    <row r="50" spans="1:11" x14ac:dyDescent="0.25">
      <c r="A50" s="9">
        <v>42005</v>
      </c>
      <c r="B50">
        <v>476.02</v>
      </c>
      <c r="C50">
        <v>320.27</v>
      </c>
      <c r="D50">
        <v>1124</v>
      </c>
      <c r="E50">
        <v>349.97</v>
      </c>
      <c r="F50">
        <v>629.29999999999995</v>
      </c>
      <c r="G50">
        <v>314</v>
      </c>
      <c r="H50">
        <v>503.05</v>
      </c>
      <c r="I50">
        <v>812</v>
      </c>
      <c r="J50">
        <v>1074.08</v>
      </c>
      <c r="K50">
        <v>1407.1</v>
      </c>
    </row>
    <row r="51" spans="1:11" x14ac:dyDescent="0.25">
      <c r="A51" s="9">
        <v>42006</v>
      </c>
      <c r="B51">
        <v>540.79999999999995</v>
      </c>
      <c r="C51">
        <v>319.86</v>
      </c>
      <c r="D51">
        <v>1269.3</v>
      </c>
      <c r="E51">
        <v>416.01</v>
      </c>
      <c r="F51">
        <v>676.17</v>
      </c>
      <c r="G51">
        <v>307.5</v>
      </c>
      <c r="H51">
        <v>617.29999999999995</v>
      </c>
      <c r="I51">
        <v>874.55</v>
      </c>
      <c r="J51">
        <v>1129.18</v>
      </c>
      <c r="K51">
        <v>1409.6</v>
      </c>
    </row>
    <row r="52" spans="1:11" x14ac:dyDescent="0.25">
      <c r="A52" s="9">
        <v>42007</v>
      </c>
      <c r="B52">
        <v>541.27</v>
      </c>
      <c r="C52">
        <v>317.32</v>
      </c>
      <c r="D52">
        <v>1339.95</v>
      </c>
      <c r="E52">
        <v>437.13</v>
      </c>
      <c r="F52">
        <v>702.35</v>
      </c>
      <c r="G52">
        <v>302</v>
      </c>
      <c r="H52">
        <v>647.54999999999995</v>
      </c>
      <c r="I52">
        <v>944.5</v>
      </c>
      <c r="J52">
        <v>1184.8599999999999</v>
      </c>
      <c r="K52">
        <v>1395.15</v>
      </c>
    </row>
    <row r="53" spans="1:11" x14ac:dyDescent="0.25">
      <c r="A53" s="9">
        <v>42008</v>
      </c>
      <c r="B53">
        <v>516.62</v>
      </c>
      <c r="C53">
        <v>293.77</v>
      </c>
      <c r="D53">
        <v>1337.05</v>
      </c>
      <c r="E53">
        <v>414</v>
      </c>
      <c r="F53">
        <v>680.52</v>
      </c>
      <c r="G53">
        <v>273.45</v>
      </c>
      <c r="H53">
        <v>569.65</v>
      </c>
      <c r="I53">
        <v>925.25</v>
      </c>
      <c r="J53">
        <v>1119.3399999999999</v>
      </c>
      <c r="K53">
        <v>1299.9000000000001</v>
      </c>
    </row>
    <row r="54" spans="1:11" x14ac:dyDescent="0.25">
      <c r="A54" s="9">
        <v>42009</v>
      </c>
      <c r="B54">
        <v>494.4</v>
      </c>
      <c r="C54">
        <v>301.04000000000002</v>
      </c>
      <c r="D54">
        <v>1170</v>
      </c>
      <c r="E54">
        <v>404.43</v>
      </c>
      <c r="F54">
        <v>666.45</v>
      </c>
      <c r="G54">
        <v>269.75</v>
      </c>
      <c r="H54">
        <v>567.79999999999995</v>
      </c>
      <c r="I54">
        <v>823.8</v>
      </c>
      <c r="J54">
        <v>944.98</v>
      </c>
      <c r="K54">
        <v>1293.0999999999999</v>
      </c>
    </row>
    <row r="55" spans="1:11" x14ac:dyDescent="0.25">
      <c r="A55" s="9">
        <v>42010</v>
      </c>
      <c r="B55">
        <v>518.1</v>
      </c>
      <c r="C55">
        <v>287.68</v>
      </c>
      <c r="D55">
        <v>1247.75</v>
      </c>
      <c r="E55">
        <v>437.99</v>
      </c>
      <c r="F55">
        <v>696.37</v>
      </c>
      <c r="G55">
        <v>278.2</v>
      </c>
      <c r="H55">
        <v>578.45000000000005</v>
      </c>
      <c r="I55">
        <v>882.95</v>
      </c>
      <c r="J55">
        <v>802.09</v>
      </c>
      <c r="K55">
        <v>1322.6</v>
      </c>
    </row>
    <row r="56" spans="1:11" x14ac:dyDescent="0.25">
      <c r="A56" s="9">
        <v>42011</v>
      </c>
      <c r="B56">
        <v>536.16999999999996</v>
      </c>
      <c r="C56">
        <v>283.82</v>
      </c>
      <c r="D56">
        <v>1292.7</v>
      </c>
      <c r="E56">
        <v>549.82000000000005</v>
      </c>
      <c r="F56">
        <v>704.12</v>
      </c>
      <c r="G56">
        <v>267.75</v>
      </c>
      <c r="H56">
        <v>578.65</v>
      </c>
      <c r="I56">
        <v>875.55</v>
      </c>
      <c r="J56">
        <v>867.81</v>
      </c>
      <c r="K56">
        <v>1455.25</v>
      </c>
    </row>
    <row r="57" spans="1:11" x14ac:dyDescent="0.25">
      <c r="A57" s="9">
        <v>42012</v>
      </c>
      <c r="B57">
        <v>547.70000000000005</v>
      </c>
      <c r="C57">
        <v>284.45</v>
      </c>
      <c r="D57">
        <v>1324.35</v>
      </c>
      <c r="E57">
        <v>568.23</v>
      </c>
      <c r="F57">
        <v>690.2</v>
      </c>
      <c r="G57">
        <v>281.05</v>
      </c>
      <c r="H57">
        <v>576.70000000000005</v>
      </c>
      <c r="I57">
        <v>973.85</v>
      </c>
      <c r="J57">
        <v>894.16</v>
      </c>
      <c r="K57">
        <v>1477.55</v>
      </c>
    </row>
    <row r="58" spans="1:11" x14ac:dyDescent="0.25">
      <c r="A58" s="9">
        <v>42013</v>
      </c>
      <c r="B58">
        <v>500.05</v>
      </c>
      <c r="C58">
        <v>246.32</v>
      </c>
      <c r="D58">
        <v>1157.4000000000001</v>
      </c>
      <c r="E58">
        <v>493.5</v>
      </c>
      <c r="F58">
        <v>613.75</v>
      </c>
      <c r="G58">
        <v>239.1</v>
      </c>
      <c r="H58">
        <v>480.1</v>
      </c>
      <c r="I58">
        <v>831.5</v>
      </c>
      <c r="J58">
        <v>797.65</v>
      </c>
      <c r="K58">
        <v>1613.65</v>
      </c>
    </row>
    <row r="59" spans="1:11" x14ac:dyDescent="0.25">
      <c r="A59" s="9">
        <v>42014</v>
      </c>
      <c r="B59">
        <v>533.82000000000005</v>
      </c>
      <c r="C59">
        <v>242.82</v>
      </c>
      <c r="D59">
        <v>1196.5999999999999</v>
      </c>
      <c r="E59">
        <v>510.75</v>
      </c>
      <c r="F59">
        <v>640.85</v>
      </c>
      <c r="G59">
        <v>235.15</v>
      </c>
      <c r="H59">
        <v>496.25</v>
      </c>
      <c r="I59">
        <v>957.6</v>
      </c>
      <c r="J59">
        <v>905.86</v>
      </c>
      <c r="K59">
        <v>1591.4</v>
      </c>
    </row>
    <row r="60" spans="1:11" x14ac:dyDescent="0.25">
      <c r="A60" s="9">
        <v>42015</v>
      </c>
      <c r="B60">
        <v>541.54999999999995</v>
      </c>
      <c r="C60">
        <v>254.14</v>
      </c>
      <c r="D60">
        <v>1221.05</v>
      </c>
      <c r="E60">
        <v>522.32000000000005</v>
      </c>
      <c r="F60">
        <v>686.5</v>
      </c>
      <c r="G60">
        <v>236.9</v>
      </c>
      <c r="H60">
        <v>478.25</v>
      </c>
      <c r="I60">
        <v>913.65</v>
      </c>
      <c r="J60">
        <v>915.99</v>
      </c>
      <c r="K60">
        <v>1677.85</v>
      </c>
    </row>
    <row r="61" spans="1:11" x14ac:dyDescent="0.25">
      <c r="A61" s="9">
        <v>42016</v>
      </c>
      <c r="B61">
        <v>541.5</v>
      </c>
      <c r="C61">
        <v>249</v>
      </c>
      <c r="D61">
        <v>1224.7</v>
      </c>
      <c r="E61">
        <v>560.38</v>
      </c>
      <c r="F61">
        <v>688.6</v>
      </c>
      <c r="G61">
        <v>250.2</v>
      </c>
      <c r="H61">
        <v>461.6</v>
      </c>
      <c r="I61">
        <v>942.65</v>
      </c>
      <c r="J61">
        <v>857.87</v>
      </c>
      <c r="K61">
        <v>1718.85</v>
      </c>
    </row>
    <row r="62" spans="1:11" x14ac:dyDescent="0.25">
      <c r="A62" s="9">
        <v>42370</v>
      </c>
      <c r="B62">
        <v>544.37</v>
      </c>
      <c r="C62">
        <v>239.09</v>
      </c>
      <c r="D62">
        <v>1258.45</v>
      </c>
      <c r="E62">
        <v>609.58000000000004</v>
      </c>
      <c r="F62">
        <v>727.25</v>
      </c>
      <c r="G62">
        <v>227.8</v>
      </c>
      <c r="H62">
        <v>449.9</v>
      </c>
      <c r="I62">
        <v>963.85</v>
      </c>
      <c r="J62">
        <v>843.5</v>
      </c>
      <c r="K62">
        <v>1677.1</v>
      </c>
    </row>
    <row r="63" spans="1:11" x14ac:dyDescent="0.25">
      <c r="A63" s="9">
        <v>42371</v>
      </c>
      <c r="B63">
        <v>529.87</v>
      </c>
      <c r="C63">
        <v>197.45</v>
      </c>
      <c r="D63">
        <v>1180.05</v>
      </c>
      <c r="E63">
        <v>600.30999999999995</v>
      </c>
      <c r="F63">
        <v>687.7</v>
      </c>
      <c r="G63">
        <v>172.75</v>
      </c>
      <c r="H63">
        <v>399.3</v>
      </c>
      <c r="I63">
        <v>927.1</v>
      </c>
      <c r="J63">
        <v>788.84</v>
      </c>
      <c r="K63">
        <v>1473.3</v>
      </c>
    </row>
    <row r="64" spans="1:11" x14ac:dyDescent="0.25">
      <c r="A64" s="9">
        <v>42372</v>
      </c>
      <c r="B64">
        <v>492.07</v>
      </c>
      <c r="C64">
        <v>186.32</v>
      </c>
      <c r="D64">
        <v>1069.45</v>
      </c>
      <c r="E64">
        <v>620.88</v>
      </c>
      <c r="F64">
        <v>638.45000000000005</v>
      </c>
      <c r="G64">
        <v>162.05000000000001</v>
      </c>
      <c r="H64">
        <v>392</v>
      </c>
      <c r="I64">
        <v>860.8</v>
      </c>
      <c r="J64">
        <v>828.3</v>
      </c>
      <c r="K64">
        <v>1406.55</v>
      </c>
    </row>
    <row r="65" spans="1:11" x14ac:dyDescent="0.25">
      <c r="A65" s="9">
        <v>42373</v>
      </c>
      <c r="B65">
        <v>532.22</v>
      </c>
      <c r="C65">
        <v>216.64</v>
      </c>
      <c r="D65">
        <v>1113.4000000000001</v>
      </c>
      <c r="E65">
        <v>687.75</v>
      </c>
      <c r="F65">
        <v>679.9</v>
      </c>
      <c r="G65">
        <v>195.65</v>
      </c>
      <c r="H65">
        <v>449.9</v>
      </c>
      <c r="I65">
        <v>961.3</v>
      </c>
      <c r="J65">
        <v>902.64</v>
      </c>
      <c r="K65">
        <v>1482.35</v>
      </c>
    </row>
    <row r="66" spans="1:11" x14ac:dyDescent="0.25">
      <c r="A66" s="9">
        <v>42374</v>
      </c>
      <c r="B66">
        <v>558.82000000000005</v>
      </c>
      <c r="C66">
        <v>206.14</v>
      </c>
      <c r="D66">
        <v>1091.9000000000001</v>
      </c>
      <c r="E66">
        <v>705.37</v>
      </c>
      <c r="F66">
        <v>718.2</v>
      </c>
      <c r="G66">
        <v>186</v>
      </c>
      <c r="H66">
        <v>471.8</v>
      </c>
      <c r="I66">
        <v>1045.05</v>
      </c>
      <c r="J66">
        <v>1055.22</v>
      </c>
      <c r="K66">
        <v>1442.1</v>
      </c>
    </row>
    <row r="67" spans="1:11" x14ac:dyDescent="0.25">
      <c r="A67" s="9">
        <v>42375</v>
      </c>
      <c r="B67">
        <v>587.57000000000005</v>
      </c>
      <c r="C67">
        <v>218.23</v>
      </c>
      <c r="D67">
        <v>1243.25</v>
      </c>
      <c r="E67">
        <v>764.24</v>
      </c>
      <c r="F67">
        <v>745.35</v>
      </c>
      <c r="G67">
        <v>198.25</v>
      </c>
      <c r="H67">
        <v>511.95</v>
      </c>
      <c r="I67">
        <v>1103.75</v>
      </c>
      <c r="J67">
        <v>1132.5899999999999</v>
      </c>
      <c r="K67">
        <v>1518.05</v>
      </c>
    </row>
    <row r="68" spans="1:11" x14ac:dyDescent="0.25">
      <c r="A68" s="9">
        <v>42376</v>
      </c>
      <c r="B68">
        <v>587.25</v>
      </c>
      <c r="C68">
        <v>218.5</v>
      </c>
      <c r="D68">
        <v>1242.3499999999999</v>
      </c>
      <c r="E68">
        <v>816.72</v>
      </c>
      <c r="F68">
        <v>753.4</v>
      </c>
      <c r="G68">
        <v>219.6</v>
      </c>
      <c r="H68">
        <v>542.9</v>
      </c>
      <c r="I68">
        <v>1123.3499999999999</v>
      </c>
      <c r="J68">
        <v>1195.19</v>
      </c>
      <c r="K68">
        <v>1681.05</v>
      </c>
    </row>
    <row r="69" spans="1:11" x14ac:dyDescent="0.25">
      <c r="A69" s="9">
        <v>42377</v>
      </c>
      <c r="B69">
        <v>621.15</v>
      </c>
      <c r="C69">
        <v>226.82</v>
      </c>
      <c r="D69">
        <v>1374.3</v>
      </c>
      <c r="E69">
        <v>1122.6199999999999</v>
      </c>
      <c r="F69">
        <v>753.15</v>
      </c>
      <c r="G69">
        <v>227.3</v>
      </c>
      <c r="H69">
        <v>550.54999999999995</v>
      </c>
      <c r="I69">
        <v>1200.55</v>
      </c>
      <c r="J69">
        <v>1265.25</v>
      </c>
      <c r="K69">
        <v>1838.7</v>
      </c>
    </row>
    <row r="70" spans="1:11" x14ac:dyDescent="0.25">
      <c r="A70" s="9">
        <v>42378</v>
      </c>
      <c r="B70">
        <v>641.85</v>
      </c>
      <c r="C70">
        <v>237.23</v>
      </c>
      <c r="D70">
        <v>1424.75</v>
      </c>
      <c r="E70">
        <v>1116.08</v>
      </c>
      <c r="F70">
        <v>810.7</v>
      </c>
      <c r="G70">
        <v>252</v>
      </c>
      <c r="H70">
        <v>596.65</v>
      </c>
      <c r="I70">
        <v>1184.2</v>
      </c>
      <c r="J70">
        <v>1170.73</v>
      </c>
      <c r="K70">
        <v>1820.95</v>
      </c>
    </row>
    <row r="71" spans="1:11" x14ac:dyDescent="0.25">
      <c r="A71" s="9">
        <v>42379</v>
      </c>
      <c r="B71">
        <v>643.6</v>
      </c>
      <c r="C71">
        <v>232.86</v>
      </c>
      <c r="D71">
        <v>1425.5</v>
      </c>
      <c r="E71">
        <v>1086.7</v>
      </c>
      <c r="F71">
        <v>788.05</v>
      </c>
      <c r="G71">
        <v>255.3</v>
      </c>
      <c r="H71">
        <v>550.9</v>
      </c>
      <c r="I71">
        <v>1232.9000000000001</v>
      </c>
      <c r="J71">
        <v>1187.8800000000001</v>
      </c>
      <c r="K71">
        <v>1938.2</v>
      </c>
    </row>
    <row r="72" spans="1:11" x14ac:dyDescent="0.25">
      <c r="A72" s="9">
        <v>42380</v>
      </c>
      <c r="B72">
        <v>629.9</v>
      </c>
      <c r="C72">
        <v>250.32</v>
      </c>
      <c r="D72">
        <v>1417.2</v>
      </c>
      <c r="E72">
        <v>1060.8</v>
      </c>
      <c r="F72">
        <v>805.55</v>
      </c>
      <c r="G72">
        <v>258.95</v>
      </c>
      <c r="H72">
        <v>475.8</v>
      </c>
      <c r="I72">
        <v>1214.25</v>
      </c>
      <c r="J72">
        <v>1026.72</v>
      </c>
      <c r="K72">
        <v>2190.6999999999998</v>
      </c>
    </row>
    <row r="73" spans="1:11" x14ac:dyDescent="0.25">
      <c r="A73" s="9">
        <v>42381</v>
      </c>
      <c r="B73">
        <v>598.62</v>
      </c>
      <c r="C73">
        <v>235.59</v>
      </c>
      <c r="D73">
        <v>1270</v>
      </c>
      <c r="E73">
        <v>914.2</v>
      </c>
      <c r="F73">
        <v>744.95</v>
      </c>
      <c r="G73">
        <v>255.65</v>
      </c>
      <c r="H73">
        <v>466.05</v>
      </c>
      <c r="I73">
        <v>1080.7</v>
      </c>
      <c r="J73">
        <v>878.48</v>
      </c>
      <c r="K73">
        <v>2053.35</v>
      </c>
    </row>
    <row r="74" spans="1:11" x14ac:dyDescent="0.25">
      <c r="A74" s="9">
        <v>42736</v>
      </c>
      <c r="B74">
        <v>598.54999999999995</v>
      </c>
      <c r="C74">
        <v>229.05</v>
      </c>
      <c r="D74">
        <v>1217.0999999999999</v>
      </c>
      <c r="E74">
        <v>870.05</v>
      </c>
      <c r="F74">
        <v>714.8</v>
      </c>
      <c r="G74">
        <v>243.6</v>
      </c>
      <c r="H74">
        <v>447.75</v>
      </c>
      <c r="I74">
        <v>1087.45</v>
      </c>
      <c r="J74">
        <v>861.72</v>
      </c>
      <c r="K74">
        <v>1825.65</v>
      </c>
    </row>
    <row r="75" spans="1:11" x14ac:dyDescent="0.25">
      <c r="A75" s="9">
        <v>42737</v>
      </c>
      <c r="B75">
        <v>652.85</v>
      </c>
      <c r="C75">
        <v>255.45</v>
      </c>
      <c r="D75">
        <v>1412.1</v>
      </c>
      <c r="E75">
        <v>1066.1500000000001</v>
      </c>
      <c r="F75">
        <v>777.05</v>
      </c>
      <c r="G75">
        <v>270.7</v>
      </c>
      <c r="H75">
        <v>475.65</v>
      </c>
      <c r="I75">
        <v>1307.75</v>
      </c>
      <c r="J75">
        <v>954.62</v>
      </c>
      <c r="K75">
        <v>2043.7</v>
      </c>
    </row>
    <row r="76" spans="1:11" x14ac:dyDescent="0.25">
      <c r="A76" s="9">
        <v>42738</v>
      </c>
      <c r="B76">
        <v>695.82</v>
      </c>
      <c r="C76">
        <v>253.73</v>
      </c>
      <c r="D76">
        <v>1400.55</v>
      </c>
      <c r="E76">
        <v>1075.8499999999999</v>
      </c>
      <c r="F76">
        <v>824.15</v>
      </c>
      <c r="G76">
        <v>271.75</v>
      </c>
      <c r="H76">
        <v>513.4</v>
      </c>
      <c r="I76">
        <v>1326.2</v>
      </c>
      <c r="J76">
        <v>901.91</v>
      </c>
      <c r="K76">
        <v>2105.4499999999998</v>
      </c>
    </row>
    <row r="77" spans="1:11" x14ac:dyDescent="0.25">
      <c r="A77" s="9">
        <v>42739</v>
      </c>
      <c r="B77">
        <v>716.6</v>
      </c>
      <c r="C77">
        <v>260.64</v>
      </c>
      <c r="D77">
        <v>1533.65</v>
      </c>
      <c r="E77">
        <v>1181.75</v>
      </c>
      <c r="F77">
        <v>875.95</v>
      </c>
      <c r="G77">
        <v>293.14999999999998</v>
      </c>
      <c r="H77">
        <v>500.6</v>
      </c>
      <c r="I77">
        <v>1403.45</v>
      </c>
      <c r="J77">
        <v>1075.78</v>
      </c>
      <c r="K77">
        <v>2168.25</v>
      </c>
    </row>
    <row r="78" spans="1:11" x14ac:dyDescent="0.25">
      <c r="A78" s="9">
        <v>42740</v>
      </c>
      <c r="B78">
        <v>773.25</v>
      </c>
      <c r="C78">
        <v>253.18</v>
      </c>
      <c r="D78">
        <v>1537.15</v>
      </c>
      <c r="E78">
        <v>1276.2</v>
      </c>
      <c r="F78">
        <v>901.95</v>
      </c>
      <c r="G78">
        <v>289.75</v>
      </c>
      <c r="H78">
        <v>509.65</v>
      </c>
      <c r="I78">
        <v>1444.95</v>
      </c>
      <c r="J78">
        <v>1012.01</v>
      </c>
      <c r="K78">
        <v>2114.4499999999998</v>
      </c>
    </row>
    <row r="79" spans="1:11" x14ac:dyDescent="0.25">
      <c r="A79" s="9">
        <v>42741</v>
      </c>
      <c r="B79">
        <v>814.3</v>
      </c>
      <c r="C79">
        <v>291</v>
      </c>
      <c r="D79">
        <v>1583.75</v>
      </c>
      <c r="E79">
        <v>1327.35</v>
      </c>
      <c r="F79">
        <v>962.65</v>
      </c>
      <c r="G79">
        <v>287.45</v>
      </c>
      <c r="H79">
        <v>509.3</v>
      </c>
      <c r="I79">
        <v>1485.6</v>
      </c>
      <c r="J79">
        <v>1000.9</v>
      </c>
      <c r="K79">
        <v>2075.75</v>
      </c>
    </row>
    <row r="80" spans="1:11" x14ac:dyDescent="0.25">
      <c r="A80" s="9">
        <v>42742</v>
      </c>
      <c r="B80">
        <v>829.3</v>
      </c>
      <c r="C80">
        <v>290.05</v>
      </c>
      <c r="D80">
        <v>1621.65</v>
      </c>
      <c r="E80">
        <v>1387.15</v>
      </c>
      <c r="F80">
        <v>948.85</v>
      </c>
      <c r="G80">
        <v>274.85000000000002</v>
      </c>
      <c r="H80">
        <v>517.25</v>
      </c>
      <c r="I80">
        <v>1490.95</v>
      </c>
      <c r="J80">
        <v>1002.46</v>
      </c>
      <c r="K80">
        <v>2104.4</v>
      </c>
    </row>
    <row r="81" spans="1:11" x14ac:dyDescent="0.25">
      <c r="A81" s="9">
        <v>42743</v>
      </c>
      <c r="B81">
        <v>898.6</v>
      </c>
      <c r="C81">
        <v>302.60000000000002</v>
      </c>
      <c r="D81">
        <v>1779.1</v>
      </c>
      <c r="E81">
        <v>1716.25</v>
      </c>
      <c r="F81">
        <v>1015.3</v>
      </c>
      <c r="G81">
        <v>309</v>
      </c>
      <c r="H81">
        <v>516.54999999999995</v>
      </c>
      <c r="I81">
        <v>1665.7</v>
      </c>
      <c r="J81">
        <v>1007.29</v>
      </c>
      <c r="K81">
        <v>2423.1999999999998</v>
      </c>
    </row>
    <row r="82" spans="1:11" x14ac:dyDescent="0.25">
      <c r="A82" s="9">
        <v>42744</v>
      </c>
      <c r="B82">
        <v>883.8</v>
      </c>
      <c r="C82">
        <v>298.3</v>
      </c>
      <c r="D82">
        <v>1759.55</v>
      </c>
      <c r="E82">
        <v>1799.95</v>
      </c>
      <c r="F82">
        <v>992.55</v>
      </c>
      <c r="G82">
        <v>277.85000000000002</v>
      </c>
      <c r="H82">
        <v>507.55</v>
      </c>
      <c r="I82">
        <v>1692.25</v>
      </c>
      <c r="J82">
        <v>993.5</v>
      </c>
      <c r="K82">
        <v>2912.9</v>
      </c>
    </row>
    <row r="83" spans="1:11" x14ac:dyDescent="0.25">
      <c r="A83" s="9">
        <v>42745</v>
      </c>
      <c r="B83">
        <v>902.85</v>
      </c>
      <c r="C83">
        <v>276.60000000000002</v>
      </c>
      <c r="D83">
        <v>1742.15</v>
      </c>
      <c r="E83">
        <v>1838.05</v>
      </c>
      <c r="F83">
        <v>1002.25</v>
      </c>
      <c r="G83">
        <v>253.85</v>
      </c>
      <c r="H83">
        <v>509.15</v>
      </c>
      <c r="I83">
        <v>1682.2</v>
      </c>
      <c r="J83">
        <v>1027.3599999999999</v>
      </c>
      <c r="K83">
        <v>2796.45</v>
      </c>
    </row>
    <row r="84" spans="1:11" x14ac:dyDescent="0.25">
      <c r="A84" s="9">
        <v>42746</v>
      </c>
      <c r="B84">
        <v>910.6</v>
      </c>
      <c r="C84">
        <v>313.39999999999998</v>
      </c>
      <c r="D84">
        <v>1754.3</v>
      </c>
      <c r="E84">
        <v>1806.75</v>
      </c>
      <c r="F84">
        <v>1024.3499999999999</v>
      </c>
      <c r="G84">
        <v>319.85000000000002</v>
      </c>
      <c r="H84">
        <v>535.1</v>
      </c>
      <c r="I84">
        <v>1642.55</v>
      </c>
      <c r="J84">
        <v>1166.5899999999999</v>
      </c>
      <c r="K84">
        <v>2946.65</v>
      </c>
    </row>
    <row r="85" spans="1:11" x14ac:dyDescent="0.25">
      <c r="A85" s="9">
        <v>42747</v>
      </c>
      <c r="B85">
        <v>924.1</v>
      </c>
      <c r="C85">
        <v>305.25</v>
      </c>
      <c r="D85">
        <v>1658.8</v>
      </c>
      <c r="E85">
        <v>1711.6</v>
      </c>
      <c r="F85">
        <v>1005.15</v>
      </c>
      <c r="G85">
        <v>312.75</v>
      </c>
      <c r="H85">
        <v>533.85</v>
      </c>
      <c r="I85">
        <v>1661.1</v>
      </c>
      <c r="J85">
        <v>1293.7</v>
      </c>
      <c r="K85">
        <v>2890.3</v>
      </c>
    </row>
    <row r="86" spans="1:11" x14ac:dyDescent="0.25">
      <c r="A86" s="9">
        <v>43101</v>
      </c>
      <c r="B86">
        <v>927.25</v>
      </c>
      <c r="C86">
        <v>310.3</v>
      </c>
      <c r="D86">
        <v>1683.75</v>
      </c>
      <c r="E86">
        <v>1725.65</v>
      </c>
      <c r="F86">
        <v>999.95</v>
      </c>
      <c r="G86">
        <v>307.10000000000002</v>
      </c>
      <c r="H86">
        <v>565.5</v>
      </c>
      <c r="I86">
        <v>1623.85</v>
      </c>
      <c r="J86">
        <v>1435.66</v>
      </c>
      <c r="K86">
        <v>2864.45</v>
      </c>
    </row>
    <row r="87" spans="1:11" x14ac:dyDescent="0.25">
      <c r="A87" s="9">
        <v>43102</v>
      </c>
      <c r="B87">
        <v>995.57</v>
      </c>
      <c r="C87">
        <v>346.2</v>
      </c>
      <c r="D87">
        <v>1967.55</v>
      </c>
      <c r="E87">
        <v>1729.45</v>
      </c>
      <c r="F87">
        <v>1120.95</v>
      </c>
      <c r="G87">
        <v>306.05</v>
      </c>
      <c r="H87">
        <v>592.79999999999995</v>
      </c>
      <c r="I87">
        <v>1795.45</v>
      </c>
      <c r="J87">
        <v>1344.66</v>
      </c>
      <c r="K87">
        <v>2801.95</v>
      </c>
    </row>
    <row r="88" spans="1:11" x14ac:dyDescent="0.25">
      <c r="A88" s="9">
        <v>43103</v>
      </c>
      <c r="B88">
        <v>937.17</v>
      </c>
      <c r="C88">
        <v>304.95</v>
      </c>
      <c r="D88">
        <v>1814.15</v>
      </c>
      <c r="E88">
        <v>1659.35</v>
      </c>
      <c r="F88">
        <v>1095.7</v>
      </c>
      <c r="G88">
        <v>262.14999999999998</v>
      </c>
      <c r="H88">
        <v>525.75</v>
      </c>
      <c r="I88">
        <v>1700.35</v>
      </c>
      <c r="J88">
        <v>1304.22</v>
      </c>
      <c r="K88">
        <v>2720.65</v>
      </c>
    </row>
    <row r="89" spans="1:11" x14ac:dyDescent="0.25">
      <c r="A89" s="9">
        <v>43104</v>
      </c>
      <c r="B89">
        <v>965.6</v>
      </c>
      <c r="C89">
        <v>261.85000000000002</v>
      </c>
      <c r="D89">
        <v>1838.05</v>
      </c>
      <c r="E89">
        <v>1818.6</v>
      </c>
      <c r="F89">
        <v>1096.55</v>
      </c>
      <c r="G89">
        <v>246.15</v>
      </c>
      <c r="H89">
        <v>499.05</v>
      </c>
      <c r="I89">
        <v>1804.6</v>
      </c>
      <c r="J89">
        <v>1430.59</v>
      </c>
      <c r="K89">
        <v>2622.85</v>
      </c>
    </row>
    <row r="90" spans="1:11" x14ac:dyDescent="0.25">
      <c r="A90" s="9">
        <v>43105</v>
      </c>
      <c r="B90">
        <v>972.15</v>
      </c>
      <c r="C90">
        <v>284.2</v>
      </c>
      <c r="D90">
        <v>1883.25</v>
      </c>
      <c r="E90">
        <v>1907.7</v>
      </c>
      <c r="F90">
        <v>1211.0999999999999</v>
      </c>
      <c r="G90">
        <v>246.4</v>
      </c>
      <c r="H90">
        <v>517.29999999999995</v>
      </c>
      <c r="I90">
        <v>1898</v>
      </c>
      <c r="J90">
        <v>1569.05</v>
      </c>
      <c r="K90">
        <v>2705.65</v>
      </c>
    </row>
    <row r="91" spans="1:11" x14ac:dyDescent="0.25">
      <c r="A91" s="9">
        <v>43106</v>
      </c>
      <c r="B91">
        <v>1055.3</v>
      </c>
      <c r="C91">
        <v>289.3</v>
      </c>
      <c r="D91">
        <v>1844.25</v>
      </c>
      <c r="E91">
        <v>2077.4</v>
      </c>
      <c r="F91">
        <v>1318</v>
      </c>
      <c r="G91">
        <v>266.7</v>
      </c>
      <c r="H91">
        <v>536.65</v>
      </c>
      <c r="I91">
        <v>1915.4</v>
      </c>
      <c r="J91">
        <v>1421.68</v>
      </c>
      <c r="K91">
        <v>2782.55</v>
      </c>
    </row>
    <row r="92" spans="1:11" x14ac:dyDescent="0.25">
      <c r="A92" s="9">
        <v>43107</v>
      </c>
      <c r="B92">
        <v>1036.6199999999999</v>
      </c>
      <c r="C92">
        <v>277.39999999999998</v>
      </c>
      <c r="D92">
        <v>1897.1</v>
      </c>
      <c r="E92">
        <v>2299.5500000000002</v>
      </c>
      <c r="F92">
        <v>1337.95</v>
      </c>
      <c r="G92">
        <v>258.85000000000002</v>
      </c>
      <c r="H92">
        <v>512.25</v>
      </c>
      <c r="I92">
        <v>1948.8</v>
      </c>
      <c r="J92">
        <v>1252.97</v>
      </c>
      <c r="K92">
        <v>2884.35</v>
      </c>
    </row>
    <row r="93" spans="1:11" x14ac:dyDescent="0.25">
      <c r="A93" s="9">
        <v>43108</v>
      </c>
      <c r="B93">
        <v>1079.3499999999999</v>
      </c>
      <c r="C93">
        <v>299.3</v>
      </c>
      <c r="D93">
        <v>1970.15</v>
      </c>
      <c r="E93">
        <v>2722.8</v>
      </c>
      <c r="F93">
        <v>1312.7</v>
      </c>
      <c r="G93">
        <v>295.10000000000002</v>
      </c>
      <c r="H93">
        <v>545.15</v>
      </c>
      <c r="I93">
        <v>2001.35</v>
      </c>
      <c r="J93">
        <v>1358.83</v>
      </c>
      <c r="K93">
        <v>2934.75</v>
      </c>
    </row>
    <row r="94" spans="1:11" x14ac:dyDescent="0.25">
      <c r="A94" s="9">
        <v>43109</v>
      </c>
      <c r="B94">
        <v>1037.52</v>
      </c>
      <c r="C94">
        <v>334.15</v>
      </c>
      <c r="D94">
        <v>1944.8</v>
      </c>
      <c r="E94">
        <v>2724.05</v>
      </c>
      <c r="F94">
        <v>1269.0999999999999</v>
      </c>
      <c r="G94">
        <v>306.35000000000002</v>
      </c>
      <c r="H94">
        <v>631.79999999999995</v>
      </c>
      <c r="I94">
        <v>1897</v>
      </c>
      <c r="J94">
        <v>1279.96</v>
      </c>
      <c r="K94">
        <v>3039</v>
      </c>
    </row>
    <row r="95" spans="1:11" x14ac:dyDescent="0.25">
      <c r="A95" s="9">
        <v>43110</v>
      </c>
      <c r="B95">
        <v>1017.72</v>
      </c>
      <c r="C95">
        <v>314</v>
      </c>
      <c r="D95">
        <v>1806.35</v>
      </c>
      <c r="E95">
        <v>2208.5</v>
      </c>
      <c r="F95">
        <v>1122</v>
      </c>
      <c r="G95">
        <v>273.85000000000002</v>
      </c>
      <c r="H95">
        <v>593.45000000000005</v>
      </c>
      <c r="I95">
        <v>1642.65</v>
      </c>
      <c r="J95">
        <v>1110.1300000000001</v>
      </c>
      <c r="K95">
        <v>2964.1</v>
      </c>
    </row>
    <row r="96" spans="1:11" x14ac:dyDescent="0.25">
      <c r="A96" s="9">
        <v>43111</v>
      </c>
      <c r="B96">
        <v>956.1</v>
      </c>
      <c r="C96">
        <v>353.7</v>
      </c>
      <c r="D96">
        <v>1762</v>
      </c>
      <c r="E96">
        <v>2418.1</v>
      </c>
      <c r="F96">
        <v>1109.55</v>
      </c>
      <c r="G96">
        <v>285.89999999999998</v>
      </c>
      <c r="H96">
        <v>602.15</v>
      </c>
      <c r="I96">
        <v>1463.95</v>
      </c>
      <c r="J96">
        <v>1182.23</v>
      </c>
      <c r="K96">
        <v>2813.1</v>
      </c>
    </row>
    <row r="97" spans="1:11" x14ac:dyDescent="0.25">
      <c r="A97" s="9">
        <v>43112</v>
      </c>
      <c r="B97">
        <v>1056.6500000000001</v>
      </c>
      <c r="C97">
        <v>355.5</v>
      </c>
      <c r="D97">
        <v>1980.75</v>
      </c>
      <c r="E97">
        <v>2508.65</v>
      </c>
      <c r="F97">
        <v>1226.0999999999999</v>
      </c>
      <c r="G97">
        <v>286.8</v>
      </c>
      <c r="H97">
        <v>624.79999999999995</v>
      </c>
      <c r="I97">
        <v>1656.3</v>
      </c>
      <c r="J97">
        <v>1133.22</v>
      </c>
      <c r="K97">
        <v>2992.8</v>
      </c>
    </row>
    <row r="98" spans="1:11" x14ac:dyDescent="0.25">
      <c r="A98" s="9">
        <v>43466</v>
      </c>
      <c r="B98">
        <v>1074.05</v>
      </c>
      <c r="C98">
        <v>363.75</v>
      </c>
      <c r="D98">
        <v>2009</v>
      </c>
      <c r="E98">
        <v>2656.85</v>
      </c>
      <c r="F98">
        <v>1250.45</v>
      </c>
      <c r="G98">
        <v>299.60000000000002</v>
      </c>
      <c r="H98">
        <v>627.29999999999995</v>
      </c>
      <c r="I98">
        <v>1595.6</v>
      </c>
      <c r="J98">
        <v>1198.21</v>
      </c>
      <c r="K98">
        <v>2949.95</v>
      </c>
    </row>
    <row r="99" spans="1:11" x14ac:dyDescent="0.25">
      <c r="A99" s="9">
        <v>43467</v>
      </c>
      <c r="B99">
        <v>1045.22</v>
      </c>
      <c r="C99">
        <v>354.65</v>
      </c>
      <c r="D99">
        <v>1961.25</v>
      </c>
      <c r="E99">
        <v>2628.4</v>
      </c>
      <c r="F99">
        <v>1255.7</v>
      </c>
      <c r="G99">
        <v>284.39999999999998</v>
      </c>
      <c r="H99">
        <v>717.25</v>
      </c>
      <c r="I99">
        <v>1515.15</v>
      </c>
      <c r="J99">
        <v>1020.24</v>
      </c>
      <c r="K99">
        <v>2865.9</v>
      </c>
    </row>
    <row r="100" spans="1:11" x14ac:dyDescent="0.25">
      <c r="A100" s="9">
        <v>43468</v>
      </c>
      <c r="B100">
        <v>1041.67</v>
      </c>
      <c r="C100">
        <v>354.25</v>
      </c>
      <c r="D100">
        <v>1859.45</v>
      </c>
      <c r="E100">
        <v>2660.75</v>
      </c>
      <c r="F100">
        <v>1225.95</v>
      </c>
      <c r="G100">
        <v>272.95</v>
      </c>
      <c r="H100">
        <v>702.4</v>
      </c>
      <c r="I100">
        <v>1514.1</v>
      </c>
      <c r="J100">
        <v>1130.1500000000001</v>
      </c>
      <c r="K100">
        <v>3170.3</v>
      </c>
    </row>
    <row r="101" spans="1:11" x14ac:dyDescent="0.25">
      <c r="A101" s="9">
        <v>43469</v>
      </c>
      <c r="B101">
        <v>1155.9000000000001</v>
      </c>
      <c r="C101">
        <v>398.25</v>
      </c>
      <c r="D101">
        <v>1959.65</v>
      </c>
      <c r="E101">
        <v>3001.45</v>
      </c>
      <c r="F101">
        <v>1339.4</v>
      </c>
      <c r="G101">
        <v>322.75</v>
      </c>
      <c r="H101">
        <v>765.6</v>
      </c>
      <c r="I101">
        <v>1743.05</v>
      </c>
      <c r="J101">
        <v>1204.3499999999999</v>
      </c>
      <c r="K101">
        <v>3352.15</v>
      </c>
    </row>
    <row r="102" spans="1:11" x14ac:dyDescent="0.25">
      <c r="A102" s="9">
        <v>43470</v>
      </c>
      <c r="B102">
        <v>1158.72</v>
      </c>
      <c r="C102">
        <v>407.5</v>
      </c>
      <c r="D102">
        <v>1995.05</v>
      </c>
      <c r="E102">
        <v>3095.95</v>
      </c>
      <c r="F102">
        <v>1386.55</v>
      </c>
      <c r="G102">
        <v>309.95</v>
      </c>
      <c r="H102">
        <v>766.85</v>
      </c>
      <c r="I102">
        <v>1606.5</v>
      </c>
      <c r="J102">
        <v>1082.46</v>
      </c>
      <c r="K102">
        <v>3086</v>
      </c>
    </row>
    <row r="103" spans="1:11" x14ac:dyDescent="0.25">
      <c r="A103" s="9">
        <v>43471</v>
      </c>
      <c r="B103">
        <v>1228.55</v>
      </c>
      <c r="C103">
        <v>422.9</v>
      </c>
      <c r="D103">
        <v>2230.4499999999998</v>
      </c>
      <c r="E103">
        <v>3511.05</v>
      </c>
      <c r="F103">
        <v>1531.25</v>
      </c>
      <c r="G103">
        <v>355.45</v>
      </c>
      <c r="H103">
        <v>812.65</v>
      </c>
      <c r="I103">
        <v>1662.65</v>
      </c>
      <c r="J103">
        <v>1139.55</v>
      </c>
      <c r="K103">
        <v>3505.3</v>
      </c>
    </row>
    <row r="104" spans="1:11" x14ac:dyDescent="0.25">
      <c r="A104" s="9">
        <v>43472</v>
      </c>
      <c r="B104">
        <v>1242.77</v>
      </c>
      <c r="C104">
        <v>439</v>
      </c>
      <c r="D104">
        <v>2245.9</v>
      </c>
      <c r="E104">
        <v>3699</v>
      </c>
      <c r="F104">
        <v>1481.2</v>
      </c>
      <c r="G104">
        <v>361.55</v>
      </c>
      <c r="H104">
        <v>810.45</v>
      </c>
      <c r="I104">
        <v>1433.6</v>
      </c>
      <c r="J104">
        <v>1027.5999999999999</v>
      </c>
      <c r="K104">
        <v>3642.55</v>
      </c>
    </row>
    <row r="105" spans="1:11" x14ac:dyDescent="0.25">
      <c r="A105" s="9">
        <v>43473</v>
      </c>
      <c r="B105">
        <v>1110.9000000000001</v>
      </c>
      <c r="C105">
        <v>417.05</v>
      </c>
      <c r="D105">
        <v>2086.8000000000002</v>
      </c>
      <c r="E105">
        <v>3222.1</v>
      </c>
      <c r="F105">
        <v>1495.8</v>
      </c>
      <c r="G105">
        <v>317.14999999999998</v>
      </c>
      <c r="H105">
        <v>669.3</v>
      </c>
      <c r="I105">
        <v>1398.65</v>
      </c>
      <c r="J105">
        <v>942.54</v>
      </c>
      <c r="K105">
        <v>3354.25</v>
      </c>
    </row>
    <row r="106" spans="1:11" x14ac:dyDescent="0.25">
      <c r="A106" s="9">
        <v>43474</v>
      </c>
      <c r="B106">
        <v>1113.97</v>
      </c>
      <c r="C106">
        <v>409.65</v>
      </c>
      <c r="D106">
        <v>2166.4499999999998</v>
      </c>
      <c r="E106">
        <v>3332.5</v>
      </c>
      <c r="F106">
        <v>1431.45</v>
      </c>
      <c r="G106">
        <v>273.85000000000002</v>
      </c>
      <c r="H106">
        <v>663.9</v>
      </c>
      <c r="I106">
        <v>1395.75</v>
      </c>
      <c r="J106">
        <v>941.37</v>
      </c>
      <c r="K106">
        <v>3252.05</v>
      </c>
    </row>
    <row r="107" spans="1:11" x14ac:dyDescent="0.25">
      <c r="A107" s="9">
        <v>43475</v>
      </c>
      <c r="B107">
        <v>1248.8</v>
      </c>
      <c r="C107">
        <v>424.6</v>
      </c>
      <c r="D107">
        <v>1995.65</v>
      </c>
      <c r="E107">
        <v>3992.4</v>
      </c>
      <c r="F107">
        <v>1648.2</v>
      </c>
      <c r="G107">
        <v>255.95</v>
      </c>
      <c r="H107">
        <v>679.15</v>
      </c>
      <c r="I107">
        <v>1298.05</v>
      </c>
      <c r="J107">
        <v>1018.34</v>
      </c>
      <c r="K107">
        <v>3588.65</v>
      </c>
    </row>
    <row r="108" spans="1:11" x14ac:dyDescent="0.25">
      <c r="A108" s="9">
        <v>43476</v>
      </c>
      <c r="B108">
        <v>1240.05</v>
      </c>
      <c r="C108">
        <v>462.25</v>
      </c>
      <c r="D108">
        <v>2128.6</v>
      </c>
      <c r="E108">
        <v>4069.85</v>
      </c>
      <c r="F108">
        <v>1579.9</v>
      </c>
      <c r="G108">
        <v>313.55</v>
      </c>
      <c r="H108">
        <v>748.3</v>
      </c>
      <c r="I108">
        <v>1379.85</v>
      </c>
      <c r="J108">
        <v>1114.76</v>
      </c>
      <c r="K108">
        <v>3698.2</v>
      </c>
    </row>
    <row r="109" spans="1:11" x14ac:dyDescent="0.25">
      <c r="A109" s="9">
        <v>43477</v>
      </c>
      <c r="B109">
        <v>1265.75</v>
      </c>
      <c r="C109">
        <v>510.9</v>
      </c>
      <c r="D109">
        <v>2306.6</v>
      </c>
      <c r="E109">
        <v>3950.45</v>
      </c>
      <c r="F109">
        <v>1633</v>
      </c>
      <c r="G109">
        <v>338.5</v>
      </c>
      <c r="H109">
        <v>744.3</v>
      </c>
      <c r="I109">
        <v>1576</v>
      </c>
      <c r="J109">
        <v>1069.25</v>
      </c>
      <c r="K109">
        <v>3517.45</v>
      </c>
    </row>
    <row r="110" spans="1:11" x14ac:dyDescent="0.25">
      <c r="A110" s="9">
        <v>43831</v>
      </c>
      <c r="B110">
        <v>1278.5999999999999</v>
      </c>
      <c r="C110">
        <v>536.75</v>
      </c>
      <c r="D110">
        <v>2433.9499999999998</v>
      </c>
      <c r="E110">
        <v>4231.3</v>
      </c>
      <c r="F110">
        <v>1674.05</v>
      </c>
      <c r="G110">
        <v>334.45</v>
      </c>
      <c r="H110">
        <v>748.7</v>
      </c>
      <c r="I110">
        <v>1484.3</v>
      </c>
      <c r="J110">
        <v>1113.1500000000001</v>
      </c>
      <c r="K110">
        <v>3376.7</v>
      </c>
    </row>
    <row r="111" spans="1:11" x14ac:dyDescent="0.25">
      <c r="A111" s="9">
        <v>43832</v>
      </c>
      <c r="B111">
        <v>1192.8</v>
      </c>
      <c r="C111">
        <v>515.54999999999995</v>
      </c>
      <c r="D111">
        <v>2259.75</v>
      </c>
      <c r="E111">
        <v>4359.3500000000004</v>
      </c>
      <c r="F111">
        <v>1676.25</v>
      </c>
      <c r="G111">
        <v>298.10000000000002</v>
      </c>
      <c r="H111">
        <v>708.95</v>
      </c>
      <c r="I111">
        <v>1263.0999999999999</v>
      </c>
      <c r="J111">
        <v>962.61</v>
      </c>
      <c r="K111">
        <v>3600.8</v>
      </c>
    </row>
    <row r="112" spans="1:11" x14ac:dyDescent="0.25">
      <c r="A112" s="9">
        <v>43833</v>
      </c>
      <c r="B112">
        <v>1179.5999999999999</v>
      </c>
      <c r="C112">
        <v>506.1</v>
      </c>
      <c r="D112">
        <v>2179.65</v>
      </c>
      <c r="E112">
        <v>4360.75</v>
      </c>
      <c r="F112">
        <v>1599</v>
      </c>
      <c r="G112">
        <v>287.39999999999998</v>
      </c>
      <c r="H112">
        <v>684.2</v>
      </c>
      <c r="I112">
        <v>1079.25</v>
      </c>
      <c r="J112">
        <v>1250.68</v>
      </c>
      <c r="K112">
        <v>3393.9</v>
      </c>
    </row>
    <row r="113" spans="1:11" x14ac:dyDescent="0.25">
      <c r="A113" s="9">
        <v>43834</v>
      </c>
      <c r="B113">
        <v>829.65</v>
      </c>
      <c r="C113">
        <v>311.14999999999998</v>
      </c>
      <c r="D113">
        <v>1583.5</v>
      </c>
      <c r="E113">
        <v>2219.35</v>
      </c>
      <c r="F113">
        <v>1181.6500000000001</v>
      </c>
      <c r="G113">
        <v>186.55</v>
      </c>
      <c r="H113">
        <v>358.65</v>
      </c>
      <c r="I113">
        <v>342.25</v>
      </c>
      <c r="J113">
        <v>605.71</v>
      </c>
      <c r="K113">
        <v>1754.55</v>
      </c>
    </row>
    <row r="114" spans="1:11" x14ac:dyDescent="0.25">
      <c r="A114" s="9">
        <v>43835</v>
      </c>
      <c r="B114">
        <v>1001.8</v>
      </c>
      <c r="C114">
        <v>380.15</v>
      </c>
      <c r="D114">
        <v>1916</v>
      </c>
      <c r="E114">
        <v>2318.1</v>
      </c>
      <c r="F114">
        <v>1357.2</v>
      </c>
      <c r="G114">
        <v>190.5</v>
      </c>
      <c r="H114">
        <v>444.9</v>
      </c>
      <c r="I114">
        <v>468.15</v>
      </c>
      <c r="J114">
        <v>760.97</v>
      </c>
      <c r="K114">
        <v>2037.8</v>
      </c>
    </row>
    <row r="115" spans="1:11" x14ac:dyDescent="0.25">
      <c r="A115" s="9">
        <v>43836</v>
      </c>
      <c r="B115">
        <v>987.65</v>
      </c>
      <c r="C115">
        <v>339.25</v>
      </c>
      <c r="D115">
        <v>1737.7</v>
      </c>
      <c r="E115">
        <v>2160.85</v>
      </c>
      <c r="F115">
        <v>1248.4000000000001</v>
      </c>
      <c r="G115">
        <v>170.05</v>
      </c>
      <c r="H115">
        <v>396.95</v>
      </c>
      <c r="I115">
        <v>410.1</v>
      </c>
      <c r="J115">
        <v>565.08000000000004</v>
      </c>
      <c r="K115">
        <v>2066</v>
      </c>
    </row>
    <row r="116" spans="1:11" x14ac:dyDescent="0.25">
      <c r="A116" s="9">
        <v>43837</v>
      </c>
      <c r="B116">
        <v>1084.5999999999999</v>
      </c>
      <c r="C116">
        <v>364.05</v>
      </c>
      <c r="D116">
        <v>1835.15</v>
      </c>
      <c r="E116">
        <v>2953.9</v>
      </c>
      <c r="F116">
        <v>1356.75</v>
      </c>
      <c r="G116">
        <v>184.8</v>
      </c>
      <c r="H116">
        <v>433.25</v>
      </c>
      <c r="I116">
        <v>492.45</v>
      </c>
      <c r="J116">
        <v>683.36</v>
      </c>
      <c r="K116">
        <v>2570.15</v>
      </c>
    </row>
    <row r="117" spans="1:11" x14ac:dyDescent="0.25">
      <c r="A117" s="9">
        <v>43838</v>
      </c>
      <c r="B117">
        <v>1002</v>
      </c>
      <c r="C117">
        <v>343.25</v>
      </c>
      <c r="D117">
        <v>1739.8</v>
      </c>
      <c r="E117">
        <v>3174.5</v>
      </c>
      <c r="F117">
        <v>1308.55</v>
      </c>
      <c r="G117">
        <v>192.25</v>
      </c>
      <c r="H117">
        <v>417.35</v>
      </c>
      <c r="I117">
        <v>503.05</v>
      </c>
      <c r="J117">
        <v>671</v>
      </c>
      <c r="K117">
        <v>2601.4499999999998</v>
      </c>
    </row>
    <row r="118" spans="1:11" x14ac:dyDescent="0.25">
      <c r="A118" s="9">
        <v>43839</v>
      </c>
      <c r="B118">
        <v>1127.3</v>
      </c>
      <c r="C118">
        <v>390.95</v>
      </c>
      <c r="D118">
        <v>1851.2</v>
      </c>
      <c r="E118">
        <v>3643.85</v>
      </c>
      <c r="F118">
        <v>1430.65</v>
      </c>
      <c r="G118">
        <v>218.1</v>
      </c>
      <c r="H118">
        <v>485.7</v>
      </c>
      <c r="I118">
        <v>627.45000000000005</v>
      </c>
      <c r="J118">
        <v>706.3</v>
      </c>
      <c r="K118">
        <v>2648.95</v>
      </c>
    </row>
    <row r="119" spans="1:11" x14ac:dyDescent="0.25">
      <c r="A119" s="9">
        <v>43840</v>
      </c>
      <c r="B119">
        <v>1106.95</v>
      </c>
      <c r="C119">
        <v>369.2</v>
      </c>
      <c r="D119">
        <v>1790.65</v>
      </c>
      <c r="E119">
        <v>3442.8</v>
      </c>
      <c r="F119">
        <v>1305.05</v>
      </c>
      <c r="G119">
        <v>190.3</v>
      </c>
      <c r="H119">
        <v>443.7</v>
      </c>
      <c r="I119">
        <v>592.20000000000005</v>
      </c>
      <c r="J119">
        <v>658.7</v>
      </c>
      <c r="K119">
        <v>2449.5</v>
      </c>
    </row>
    <row r="120" spans="1:11" x14ac:dyDescent="0.25">
      <c r="A120" s="9">
        <v>43841</v>
      </c>
      <c r="B120">
        <v>1215.25</v>
      </c>
      <c r="C120">
        <v>417.45</v>
      </c>
      <c r="D120">
        <v>2040.8</v>
      </c>
      <c r="E120">
        <v>3419.8</v>
      </c>
      <c r="F120">
        <v>1580.7</v>
      </c>
      <c r="G120">
        <v>196.05</v>
      </c>
      <c r="H120">
        <v>522.65</v>
      </c>
      <c r="I120">
        <v>628.35</v>
      </c>
      <c r="J120">
        <v>754.05</v>
      </c>
      <c r="K120">
        <v>2315</v>
      </c>
    </row>
    <row r="121" spans="1:11" x14ac:dyDescent="0.25">
      <c r="A121" s="9">
        <v>43842</v>
      </c>
      <c r="B121">
        <v>1433.3</v>
      </c>
      <c r="C121">
        <v>485.1</v>
      </c>
      <c r="D121">
        <v>2306.9499999999998</v>
      </c>
      <c r="E121">
        <v>4861.1000000000004</v>
      </c>
      <c r="F121">
        <v>1875.85</v>
      </c>
      <c r="G121">
        <v>248.05</v>
      </c>
      <c r="H121">
        <v>603.65</v>
      </c>
      <c r="I121">
        <v>895.5</v>
      </c>
      <c r="J121">
        <v>1023.55</v>
      </c>
      <c r="K121">
        <v>3094.3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J15" sqref="J15"/>
    </sheetView>
  </sheetViews>
  <sheetFormatPr defaultRowHeight="15" x14ac:dyDescent="0.25"/>
  <cols>
    <col min="1" max="1" width="49.5703125" customWidth="1"/>
    <col min="3" max="3" width="11.140625" customWidth="1"/>
  </cols>
  <sheetData>
    <row r="1" spans="1:7" ht="15.75" thickBot="1" x14ac:dyDescent="0.3">
      <c r="A1" s="34" t="s">
        <v>42</v>
      </c>
      <c r="B1" s="35"/>
      <c r="C1" s="35"/>
      <c r="D1" s="35"/>
      <c r="E1" s="35"/>
    </row>
    <row r="2" spans="1:7" ht="30.75" thickBot="1" x14ac:dyDescent="0.3">
      <c r="A2" s="10"/>
      <c r="B2" s="11" t="s">
        <v>43</v>
      </c>
      <c r="C2" s="11" t="s">
        <v>44</v>
      </c>
      <c r="D2" s="11" t="s">
        <v>45</v>
      </c>
      <c r="E2" s="11" t="s">
        <v>46</v>
      </c>
      <c r="G2" s="15" t="s">
        <v>47</v>
      </c>
    </row>
    <row r="3" spans="1:7" x14ac:dyDescent="0.25">
      <c r="A3" s="12" t="s">
        <v>32</v>
      </c>
      <c r="B3" s="14"/>
      <c r="C3" s="14"/>
      <c r="D3" s="14"/>
      <c r="E3" s="14"/>
    </row>
    <row r="4" spans="1:7" x14ac:dyDescent="0.25">
      <c r="A4" s="13" t="s">
        <v>33</v>
      </c>
      <c r="B4" s="14"/>
      <c r="C4" s="14"/>
      <c r="D4" s="14"/>
      <c r="E4" s="14"/>
    </row>
    <row r="5" spans="1:7" x14ac:dyDescent="0.25">
      <c r="A5" s="13" t="s">
        <v>34</v>
      </c>
      <c r="B5" s="14"/>
      <c r="C5" s="14"/>
      <c r="D5" s="14"/>
      <c r="E5" s="14"/>
    </row>
    <row r="6" spans="1:7" x14ac:dyDescent="0.25">
      <c r="A6" s="13" t="s">
        <v>35</v>
      </c>
      <c r="B6" s="14"/>
      <c r="C6" s="14"/>
      <c r="D6" s="14"/>
      <c r="E6" s="14"/>
    </row>
    <row r="7" spans="1:7" x14ac:dyDescent="0.25">
      <c r="A7" s="13" t="s">
        <v>36</v>
      </c>
      <c r="B7" s="14"/>
      <c r="C7" s="14"/>
      <c r="D7" s="14"/>
      <c r="E7" s="14"/>
    </row>
    <row r="8" spans="1:7" x14ac:dyDescent="0.25">
      <c r="A8" s="13" t="s">
        <v>37</v>
      </c>
      <c r="B8" s="14"/>
      <c r="C8" s="14"/>
      <c r="D8" s="14"/>
      <c r="E8" s="14"/>
    </row>
    <row r="9" spans="1:7" x14ac:dyDescent="0.25">
      <c r="A9" s="13" t="s">
        <v>38</v>
      </c>
      <c r="B9" s="14"/>
      <c r="C9" s="14"/>
      <c r="D9" s="14"/>
      <c r="E9" s="14"/>
    </row>
    <row r="10" spans="1:7" x14ac:dyDescent="0.25">
      <c r="A10" s="13" t="s">
        <v>39</v>
      </c>
      <c r="B10" s="14"/>
      <c r="C10" s="14"/>
      <c r="D10" s="14"/>
      <c r="E10" s="14"/>
    </row>
    <row r="11" spans="1:7" x14ac:dyDescent="0.25">
      <c r="A11" s="13" t="s">
        <v>40</v>
      </c>
      <c r="B11" s="14"/>
      <c r="C11" s="14"/>
      <c r="D11" s="14"/>
      <c r="E11" s="14"/>
    </row>
    <row r="12" spans="1:7" x14ac:dyDescent="0.25">
      <c r="A12" s="13" t="s">
        <v>41</v>
      </c>
      <c r="B12" s="14"/>
      <c r="C12" s="14"/>
      <c r="D12" s="14"/>
      <c r="E12" s="14"/>
    </row>
    <row r="14" spans="1:7" x14ac:dyDescent="0.25">
      <c r="A14" s="32" t="s">
        <v>5</v>
      </c>
      <c r="B14" s="31">
        <v>1</v>
      </c>
      <c r="C14" s="31">
        <v>1</v>
      </c>
      <c r="D14" s="31">
        <v>1</v>
      </c>
      <c r="E14" s="31">
        <v>1</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A5" sqref="A5"/>
    </sheetView>
  </sheetViews>
  <sheetFormatPr defaultRowHeight="15" x14ac:dyDescent="0.25"/>
  <sheetData>
    <row r="1" spans="1:11" x14ac:dyDescent="0.25">
      <c r="A1" t="s">
        <v>110</v>
      </c>
      <c r="B1" t="s">
        <v>48</v>
      </c>
    </row>
    <row r="2" spans="1:11" x14ac:dyDescent="0.25">
      <c r="A2" t="s">
        <v>111</v>
      </c>
      <c r="B2" t="s">
        <v>49</v>
      </c>
    </row>
    <row r="3" spans="1:11" x14ac:dyDescent="0.25">
      <c r="A3" t="s">
        <v>112</v>
      </c>
      <c r="B3" t="s">
        <v>50</v>
      </c>
    </row>
    <row r="4" spans="1:11" x14ac:dyDescent="0.25">
      <c r="A4" t="s">
        <v>113</v>
      </c>
      <c r="B4" t="s">
        <v>51</v>
      </c>
    </row>
    <row r="6" spans="1:11" x14ac:dyDescent="0.25">
      <c r="B6" s="25" t="s">
        <v>85</v>
      </c>
      <c r="C6" s="26">
        <v>1</v>
      </c>
      <c r="D6" s="25" t="s">
        <v>54</v>
      </c>
      <c r="E6" s="26">
        <f>C6+1</f>
        <v>2</v>
      </c>
      <c r="F6" s="25" t="s">
        <v>54</v>
      </c>
      <c r="G6" s="26">
        <f>E6+1</f>
        <v>3</v>
      </c>
      <c r="H6" s="25" t="s">
        <v>54</v>
      </c>
      <c r="I6" s="26">
        <f>G6+1</f>
        <v>4</v>
      </c>
      <c r="J6" s="25" t="s">
        <v>54</v>
      </c>
      <c r="K6" s="26">
        <f>I6+1</f>
        <v>5</v>
      </c>
    </row>
    <row r="7" spans="1:11" x14ac:dyDescent="0.25">
      <c r="B7" s="25" t="s">
        <v>52</v>
      </c>
      <c r="C7" s="26" t="s">
        <v>53</v>
      </c>
      <c r="D7" s="25" t="s">
        <v>52</v>
      </c>
      <c r="E7" s="26" t="s">
        <v>53</v>
      </c>
      <c r="F7" s="25" t="s">
        <v>52</v>
      </c>
      <c r="G7" s="26" t="s">
        <v>53</v>
      </c>
      <c r="H7" s="25" t="s">
        <v>52</v>
      </c>
      <c r="I7" s="26" t="s">
        <v>53</v>
      </c>
      <c r="J7" s="25" t="s">
        <v>52</v>
      </c>
      <c r="K7" s="26" t="s">
        <v>53</v>
      </c>
    </row>
    <row r="8" spans="1:11" x14ac:dyDescent="0.25">
      <c r="B8" s="27">
        <v>0.3</v>
      </c>
      <c r="C8" s="17">
        <v>12</v>
      </c>
      <c r="D8" s="16">
        <v>0.4</v>
      </c>
      <c r="E8" s="17">
        <v>9</v>
      </c>
      <c r="F8" s="16">
        <v>0.2</v>
      </c>
      <c r="G8" s="17">
        <v>4</v>
      </c>
      <c r="H8" s="16">
        <v>0.1</v>
      </c>
      <c r="I8" s="17">
        <v>12</v>
      </c>
      <c r="J8" s="16">
        <v>0.35</v>
      </c>
      <c r="K8" s="17">
        <v>10</v>
      </c>
    </row>
    <row r="9" spans="1:11" x14ac:dyDescent="0.25">
      <c r="B9" s="27">
        <v>0.1</v>
      </c>
      <c r="C9" s="17">
        <v>3</v>
      </c>
      <c r="D9" s="16">
        <v>0.1</v>
      </c>
      <c r="E9" s="17">
        <v>20</v>
      </c>
      <c r="F9" s="16">
        <v>0.33</v>
      </c>
      <c r="G9" s="17">
        <v>25</v>
      </c>
      <c r="H9" s="16">
        <v>0.2</v>
      </c>
      <c r="I9" s="17">
        <v>20</v>
      </c>
      <c r="J9" s="16">
        <v>0.3</v>
      </c>
      <c r="K9" s="17">
        <v>12</v>
      </c>
    </row>
    <row r="10" spans="1:11" x14ac:dyDescent="0.25">
      <c r="B10" s="27">
        <v>0.25</v>
      </c>
      <c r="C10" s="17">
        <v>-10</v>
      </c>
      <c r="D10" s="16">
        <v>0.05</v>
      </c>
      <c r="E10" s="17">
        <v>-20</v>
      </c>
      <c r="F10" s="16">
        <v>0.17</v>
      </c>
      <c r="G10" s="17">
        <v>12</v>
      </c>
      <c r="H10" s="16">
        <v>0.25</v>
      </c>
      <c r="I10" s="17">
        <v>-10</v>
      </c>
      <c r="J10" s="16">
        <v>0.1</v>
      </c>
      <c r="K10" s="17">
        <v>11</v>
      </c>
    </row>
    <row r="11" spans="1:11" x14ac:dyDescent="0.25">
      <c r="B11" s="27">
        <v>0.2</v>
      </c>
      <c r="C11" s="17">
        <v>20</v>
      </c>
      <c r="D11" s="16">
        <v>0.16</v>
      </c>
      <c r="E11" s="17">
        <v>12</v>
      </c>
      <c r="F11" s="16">
        <v>0.12</v>
      </c>
      <c r="G11" s="17">
        <v>15</v>
      </c>
      <c r="H11" s="16">
        <v>0.3</v>
      </c>
      <c r="I11" s="17">
        <v>15</v>
      </c>
      <c r="J11" s="16">
        <v>0.15</v>
      </c>
      <c r="K11" s="17">
        <v>8</v>
      </c>
    </row>
    <row r="12" spans="1:11" x14ac:dyDescent="0.25">
      <c r="B12" s="27">
        <v>0.15</v>
      </c>
      <c r="C12" s="17">
        <v>6</v>
      </c>
      <c r="D12" s="16">
        <v>0.28999999999999998</v>
      </c>
      <c r="E12" s="17">
        <v>8</v>
      </c>
      <c r="F12" s="16">
        <v>0.18</v>
      </c>
      <c r="G12" s="17">
        <v>-40</v>
      </c>
      <c r="H12" s="16">
        <v>0.15</v>
      </c>
      <c r="I12" s="17">
        <v>-5</v>
      </c>
      <c r="J12" s="16">
        <v>0.1</v>
      </c>
      <c r="K12" s="17">
        <v>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opLeftCell="A5" zoomScale="90" zoomScaleNormal="90" workbookViewId="0">
      <selection activeCell="A21" sqref="A21"/>
    </sheetView>
  </sheetViews>
  <sheetFormatPr defaultRowHeight="15" x14ac:dyDescent="0.25"/>
  <cols>
    <col min="2" max="2" width="26.5703125" customWidth="1"/>
    <col min="3" max="3" width="40.42578125" customWidth="1"/>
    <col min="4" max="4" width="12" customWidth="1"/>
    <col min="5" max="5" width="21.85546875" customWidth="1"/>
    <col min="12" max="12" width="12" customWidth="1"/>
  </cols>
  <sheetData>
    <row r="1" spans="1:13" x14ac:dyDescent="0.25">
      <c r="E1" t="s">
        <v>110</v>
      </c>
    </row>
    <row r="2" spans="1:13" x14ac:dyDescent="0.25">
      <c r="E2" t="s">
        <v>56</v>
      </c>
      <c r="F2" s="19">
        <v>1</v>
      </c>
      <c r="G2" s="19">
        <v>2</v>
      </c>
      <c r="H2" s="19">
        <v>3</v>
      </c>
      <c r="I2" s="19">
        <v>4</v>
      </c>
      <c r="J2" s="19">
        <v>5</v>
      </c>
    </row>
    <row r="3" spans="1:13" x14ac:dyDescent="0.25">
      <c r="E3" t="s">
        <v>53</v>
      </c>
      <c r="F3" s="18"/>
      <c r="G3" s="18"/>
      <c r="H3" s="18"/>
      <c r="I3" s="18"/>
      <c r="J3" s="18"/>
    </row>
    <row r="4" spans="1:13" x14ac:dyDescent="0.25">
      <c r="E4" t="s">
        <v>55</v>
      </c>
      <c r="F4" s="18"/>
      <c r="G4" s="18"/>
      <c r="H4" s="18"/>
      <c r="I4" s="18"/>
      <c r="J4" s="18"/>
    </row>
    <row r="5" spans="1:13" x14ac:dyDescent="0.25">
      <c r="E5" t="s">
        <v>44</v>
      </c>
      <c r="F5" s="18"/>
      <c r="G5" s="18"/>
      <c r="H5" s="18"/>
      <c r="I5" s="18"/>
      <c r="J5" s="18"/>
    </row>
    <row r="6" spans="1:13" x14ac:dyDescent="0.25">
      <c r="D6" s="31" t="s">
        <v>5</v>
      </c>
      <c r="E6" s="31" t="s">
        <v>5</v>
      </c>
      <c r="F6" s="31">
        <v>0.5</v>
      </c>
      <c r="G6" s="31">
        <v>0.5</v>
      </c>
      <c r="H6" s="31">
        <v>0.5</v>
      </c>
      <c r="I6" s="31">
        <v>0.5</v>
      </c>
      <c r="J6" s="31">
        <v>0.5</v>
      </c>
      <c r="L6" t="s">
        <v>93</v>
      </c>
      <c r="M6">
        <f>SUM(F6:J6)+SUM(D7:D11)+D16</f>
        <v>8</v>
      </c>
    </row>
    <row r="7" spans="1:13" x14ac:dyDescent="0.25">
      <c r="A7" t="s">
        <v>112</v>
      </c>
      <c r="B7" t="s">
        <v>59</v>
      </c>
      <c r="C7" s="1"/>
      <c r="D7" s="31">
        <v>0.5</v>
      </c>
    </row>
    <row r="8" spans="1:13" ht="66" customHeight="1" x14ac:dyDescent="0.25">
      <c r="B8" t="s">
        <v>57</v>
      </c>
      <c r="C8" s="20"/>
      <c r="D8" s="31">
        <v>1</v>
      </c>
    </row>
    <row r="9" spans="1:13" x14ac:dyDescent="0.25">
      <c r="D9" s="31"/>
    </row>
    <row r="10" spans="1:13" x14ac:dyDescent="0.25">
      <c r="A10" t="s">
        <v>113</v>
      </c>
      <c r="B10" t="s">
        <v>58</v>
      </c>
      <c r="C10" s="1"/>
      <c r="D10" s="31">
        <v>0.5</v>
      </c>
    </row>
    <row r="11" spans="1:13" ht="41.25" customHeight="1" x14ac:dyDescent="0.25">
      <c r="B11" t="s">
        <v>57</v>
      </c>
      <c r="C11" s="20"/>
      <c r="D11" s="31">
        <v>1</v>
      </c>
    </row>
    <row r="15" spans="1:13" x14ac:dyDescent="0.25">
      <c r="D15" s="31" t="s">
        <v>5</v>
      </c>
    </row>
    <row r="16" spans="1:13" ht="57.75" customHeight="1" x14ac:dyDescent="0.25">
      <c r="A16" t="s">
        <v>111</v>
      </c>
      <c r="B16" t="s">
        <v>84</v>
      </c>
      <c r="C16" s="1"/>
      <c r="D16" s="31">
        <v>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1048576"/>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8"/>
  <sheetViews>
    <sheetView workbookViewId="0">
      <selection activeCell="B1" sqref="B1"/>
    </sheetView>
  </sheetViews>
  <sheetFormatPr defaultRowHeight="15" x14ac:dyDescent="0.25"/>
  <cols>
    <col min="4" max="4" width="11.7109375" customWidth="1"/>
  </cols>
  <sheetData>
    <row r="2" spans="1:9" x14ac:dyDescent="0.25">
      <c r="A2" t="s">
        <v>118</v>
      </c>
      <c r="B2" t="s">
        <v>60</v>
      </c>
    </row>
    <row r="3" spans="1:9" x14ac:dyDescent="0.25">
      <c r="B3" t="s">
        <v>65</v>
      </c>
    </row>
    <row r="4" spans="1:9" x14ac:dyDescent="0.25">
      <c r="B4" t="s">
        <v>63</v>
      </c>
    </row>
    <row r="5" spans="1:9" x14ac:dyDescent="0.25">
      <c r="B5" t="s">
        <v>64</v>
      </c>
    </row>
    <row r="6" spans="1:9" x14ac:dyDescent="0.25">
      <c r="B6" t="s">
        <v>61</v>
      </c>
    </row>
    <row r="7" spans="1:9" x14ac:dyDescent="0.25">
      <c r="B7" t="s">
        <v>62</v>
      </c>
    </row>
    <row r="8" spans="1:9" x14ac:dyDescent="0.25">
      <c r="B8" t="s">
        <v>66</v>
      </c>
    </row>
    <row r="9" spans="1:9" x14ac:dyDescent="0.25">
      <c r="B9" s="21" t="s">
        <v>70</v>
      </c>
    </row>
    <row r="10" spans="1:9" x14ac:dyDescent="0.25">
      <c r="B10" t="s">
        <v>67</v>
      </c>
      <c r="E10">
        <v>1</v>
      </c>
      <c r="F10">
        <v>2</v>
      </c>
      <c r="G10">
        <v>3</v>
      </c>
      <c r="H10">
        <v>4</v>
      </c>
      <c r="I10">
        <v>5</v>
      </c>
    </row>
    <row r="11" spans="1:9" x14ac:dyDescent="0.25">
      <c r="D11" t="s">
        <v>68</v>
      </c>
    </row>
    <row r="12" spans="1:9" x14ac:dyDescent="0.25">
      <c r="D12">
        <v>0.3</v>
      </c>
      <c r="E12">
        <v>20000</v>
      </c>
      <c r="F12">
        <v>15000</v>
      </c>
      <c r="G12">
        <v>3000</v>
      </c>
      <c r="H12">
        <v>0</v>
      </c>
      <c r="I12">
        <v>30000</v>
      </c>
    </row>
    <row r="13" spans="1:9" x14ac:dyDescent="0.25">
      <c r="D13">
        <v>0.1</v>
      </c>
      <c r="E13">
        <v>30000</v>
      </c>
      <c r="F13">
        <v>40000</v>
      </c>
      <c r="G13">
        <v>70000</v>
      </c>
      <c r="H13">
        <v>50000</v>
      </c>
      <c r="I13">
        <v>4200</v>
      </c>
    </row>
    <row r="14" spans="1:9" x14ac:dyDescent="0.25">
      <c r="D14">
        <v>0.25</v>
      </c>
      <c r="E14">
        <v>5000</v>
      </c>
      <c r="F14">
        <v>12000</v>
      </c>
      <c r="G14">
        <v>40000</v>
      </c>
      <c r="H14">
        <v>6000</v>
      </c>
      <c r="I14">
        <v>42000</v>
      </c>
    </row>
    <row r="15" spans="1:9" x14ac:dyDescent="0.25">
      <c r="D15">
        <v>0.2</v>
      </c>
      <c r="E15">
        <v>0</v>
      </c>
      <c r="F15">
        <v>7000</v>
      </c>
      <c r="G15">
        <v>30000</v>
      </c>
      <c r="H15">
        <v>20000</v>
      </c>
      <c r="I15">
        <v>10000</v>
      </c>
    </row>
    <row r="16" spans="1:9" x14ac:dyDescent="0.25">
      <c r="D16">
        <v>0.15</v>
      </c>
      <c r="E16">
        <v>12000</v>
      </c>
      <c r="F16">
        <v>0</v>
      </c>
      <c r="G16">
        <v>0</v>
      </c>
      <c r="H16">
        <v>80000</v>
      </c>
      <c r="I16">
        <v>24000</v>
      </c>
    </row>
    <row r="17" spans="2:5" x14ac:dyDescent="0.25">
      <c r="D17">
        <f>SUM(D12:D16)</f>
        <v>1</v>
      </c>
    </row>
    <row r="21" spans="2:5" x14ac:dyDescent="0.25">
      <c r="B21" t="s">
        <v>119</v>
      </c>
    </row>
    <row r="22" spans="2:5" x14ac:dyDescent="0.25">
      <c r="D22" t="s">
        <v>68</v>
      </c>
      <c r="E22" t="s">
        <v>69</v>
      </c>
    </row>
    <row r="23" spans="2:5" x14ac:dyDescent="0.25">
      <c r="D23">
        <v>0.3</v>
      </c>
      <c r="E23">
        <v>500000</v>
      </c>
    </row>
    <row r="24" spans="2:5" x14ac:dyDescent="0.25">
      <c r="D24">
        <v>0.1</v>
      </c>
      <c r="E24">
        <v>75000</v>
      </c>
    </row>
    <row r="25" spans="2:5" x14ac:dyDescent="0.25">
      <c r="D25">
        <v>0.25</v>
      </c>
      <c r="E25">
        <v>200000</v>
      </c>
    </row>
    <row r="26" spans="2:5" x14ac:dyDescent="0.25">
      <c r="D26">
        <v>0.2</v>
      </c>
      <c r="E26">
        <v>100000</v>
      </c>
    </row>
    <row r="27" spans="2:5" x14ac:dyDescent="0.25">
      <c r="D27">
        <v>0.15</v>
      </c>
      <c r="E27">
        <v>34000</v>
      </c>
    </row>
    <row r="28" spans="2:5" x14ac:dyDescent="0.25">
      <c r="D28">
        <f>SUM(D23:D27)</f>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
  <sheetViews>
    <sheetView tabSelected="1" workbookViewId="0">
      <selection activeCell="C1" sqref="C1"/>
    </sheetView>
  </sheetViews>
  <sheetFormatPr defaultRowHeight="15" x14ac:dyDescent="0.25"/>
  <cols>
    <col min="2" max="2" width="50.42578125" customWidth="1"/>
    <col min="3" max="3" width="21.5703125" customWidth="1"/>
  </cols>
  <sheetData>
    <row r="1" spans="2:3" x14ac:dyDescent="0.25">
      <c r="B1" s="31" t="s">
        <v>5</v>
      </c>
      <c r="C1" s="33">
        <f>'Question Paper'!C6</f>
        <v>8</v>
      </c>
    </row>
    <row r="2" spans="2:3" x14ac:dyDescent="0.25">
      <c r="B2" t="s">
        <v>71</v>
      </c>
      <c r="C2" s="1"/>
    </row>
    <row r="3" spans="2:3" x14ac:dyDescent="0.25">
      <c r="B3" s="29" t="s">
        <v>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K4"/>
  <sheetViews>
    <sheetView workbookViewId="0">
      <selection sqref="A1:XFD1048576"/>
    </sheetView>
  </sheetViews>
  <sheetFormatPr defaultRowHeight="15" x14ac:dyDescent="0.25"/>
  <cols>
    <col min="3" max="4" width="14.85546875" customWidth="1"/>
    <col min="5" max="8" width="10" bestFit="1" customWidth="1"/>
    <col min="9" max="9" width="11.5703125" bestFit="1" customWidth="1"/>
    <col min="11" max="11" width="11.5703125" bestFit="1" customWidth="1"/>
  </cols>
  <sheetData>
    <row r="1" spans="4:11" x14ac:dyDescent="0.25">
      <c r="D1" s="4"/>
    </row>
    <row r="3" spans="4:11" x14ac:dyDescent="0.25">
      <c r="D3" s="22"/>
      <c r="E3" s="22"/>
      <c r="F3" s="22"/>
      <c r="G3" s="22"/>
      <c r="H3" s="22"/>
      <c r="I3" s="22"/>
      <c r="J3" s="22"/>
      <c r="K3" s="22"/>
    </row>
    <row r="4" spans="4:11" x14ac:dyDescent="0.25">
      <c r="D4" s="22"/>
      <c r="E4" s="22"/>
      <c r="F4" s="22"/>
      <c r="G4" s="22"/>
      <c r="H4" s="22"/>
      <c r="I4" s="22"/>
      <c r="J4" s="22"/>
      <c r="K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Student Details</vt:lpstr>
      <vt:lpstr>Question Paper</vt:lpstr>
      <vt:lpstr>Q1</vt:lpstr>
      <vt:lpstr>Q1Ans</vt:lpstr>
      <vt:lpstr>Q1Working</vt:lpstr>
      <vt:lpstr>Q2</vt:lpstr>
      <vt:lpstr>Q2Data</vt:lpstr>
      <vt:lpstr>Q2Ans</vt:lpstr>
      <vt:lpstr>Q2Working</vt:lpstr>
      <vt:lpstr>Q3</vt:lpstr>
      <vt:lpstr>Q3Ans</vt:lpstr>
      <vt:lpstr>Q3Working</vt:lpstr>
      <vt:lpstr>Q4</vt:lpstr>
      <vt:lpstr>Q4Ans</vt:lpstr>
      <vt:lpstr>Q4Working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2023-11-29T08:34:55Z</dcterms:created>
  <dcterms:modified xsi:type="dcterms:W3CDTF">2023-11-30T04:01:38Z</dcterms:modified>
</cp:coreProperties>
</file>